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puts" sheetId="1" state="visible" r:id="rId1"/>
    <sheet name="Pipeline Analysis" sheetId="2" state="visible" r:id="rId2"/>
    <sheet name="Attainment Evidence" sheetId="3" state="visible" r:id="rId3"/>
    <sheet name="Scenario Model" sheetId="4" state="visible" r:id="rId4"/>
    <sheet name="Findings" sheetId="5" state="visible" r:id="rId5"/>
    <sheet name="Case Study - Graduate 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9"/>
    </font>
    <font>
      <name val="Arial"/>
      <b val="1"/>
      <color rgb="002F5496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3" fontId="6" fillId="4" borderId="1" pivotButton="0" quotePrefix="0" xfId="0"/>
    <xf numFmtId="0" fontId="2" fillId="0" borderId="1" pivotButton="0" quotePrefix="0" xfId="0"/>
    <xf numFmtId="4" fontId="6" fillId="4" borderId="1" pivotButton="0" quotePrefix="0" xfId="0"/>
    <xf numFmtId="3" fontId="7" fillId="5" borderId="1" pivotButton="0" quotePrefix="0" xfId="0"/>
    <xf numFmtId="164" fontId="6" fillId="4" borderId="1" pivotButton="0" quotePrefix="0" xfId="0"/>
    <xf numFmtId="0" fontId="8" fillId="0" borderId="1" pivotButton="0" quotePrefix="0" xfId="0"/>
    <xf numFmtId="3" fontId="0" fillId="0" borderId="1" pivotButton="0" quotePrefix="0" xfId="0"/>
    <xf numFmtId="164" fontId="7" fillId="5" borderId="1" pivotButton="0" quotePrefix="0" xfId="0"/>
    <xf numFmtId="0" fontId="7" fillId="5" borderId="1" pivotButton="0" quotePrefix="0" xfId="0"/>
    <xf numFmtId="3" fontId="5" fillId="0" borderId="1" pivotButton="0" quotePrefix="0" xfId="0"/>
    <xf numFmtId="0" fontId="7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3" fontId="7" fillId="5" borderId="0" pivotButton="0" quotePrefix="0" xfId="0"/>
    <xf numFmtId="0" fontId="8" fillId="0" borderId="0" pivotButton="0" quotePrefix="0" xfId="0"/>
    <xf numFmtId="0" fontId="4" fillId="3" borderId="0" pivotButton="0" quotePrefix="0" xfId="0"/>
    <xf numFmtId="0" fontId="10" fillId="3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4" borderId="1" pivotButton="0" quotePrefix="0" xfId="0"/>
    <xf numFmtId="3" fontId="9" fillId="6" borderId="1" pivotButton="0" quotePrefix="0" xfId="0"/>
    <xf numFmtId="165" fontId="7" fillId="5" borderId="1" pivotButton="0" quotePrefix="0" xfId="0"/>
    <xf numFmtId="3" fontId="6" fillId="4" borderId="0" pivotButton="0" quotePrefix="0" xfId="0"/>
    <xf numFmtId="3" fontId="9" fillId="6" borderId="0" pivotButton="0" quotePrefix="0" xfId="0"/>
    <xf numFmtId="0" fontId="9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35" customWidth="1" min="4" max="4"/>
  </cols>
  <sheetData>
    <row r="1">
      <c r="A1" s="1" t="inlineStr">
        <is>
          <t>UK Graduate Talent Pipeline — Model Inputs</t>
        </is>
      </c>
    </row>
    <row r="2">
      <c r="A2" s="2" t="inlineStr">
        <is>
          <t>Update BLUE cells when new data is published. All other sheets recalculate automatically.</t>
        </is>
      </c>
    </row>
    <row r="4">
      <c r="A4" s="3" t="inlineStr">
        <is>
          <t>GOVERNMENT FEE STRUCTURE</t>
        </is>
      </c>
      <c r="B4" s="4" t="n"/>
      <c r="C4" s="4" t="n"/>
      <c r="D4" s="4" t="n"/>
    </row>
    <row r="5">
      <c r="A5" s="5" t="inlineStr">
        <is>
          <t>Parameter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Source / Update Frequency</t>
        </is>
      </c>
    </row>
    <row r="6">
      <c r="A6" s="6" t="inlineStr">
        <is>
          <t>Student visa application fee</t>
        </is>
      </c>
      <c r="B6" s="7" t="n">
        <v>490</v>
      </c>
      <c r="C6" s="8" t="inlineStr">
        <is>
          <t>GBP</t>
        </is>
      </c>
      <c r="D6" s="8" t="inlineStr">
        <is>
          <t>GOV.UK — updated annually</t>
        </is>
      </c>
    </row>
    <row r="7">
      <c r="A7" s="6" t="inlineStr">
        <is>
          <t>PSW (Graduate) visa application fee</t>
        </is>
      </c>
      <c r="B7" s="7" t="n">
        <v>822</v>
      </c>
      <c r="C7" s="8" t="inlineStr">
        <is>
          <t>GBP</t>
        </is>
      </c>
      <c r="D7" s="8" t="inlineStr">
        <is>
          <t>GOV.UK — updated annually</t>
        </is>
      </c>
    </row>
    <row r="8">
      <c r="A8" s="6" t="inlineStr">
        <is>
          <t>NHS surcharge rate (student, per year)</t>
        </is>
      </c>
      <c r="B8" s="7" t="n">
        <v>776</v>
      </c>
      <c r="C8" s="8" t="inlineStr">
        <is>
          <t>GBP/yr</t>
        </is>
      </c>
      <c r="D8" s="8" t="inlineStr">
        <is>
          <t>GOV.UK — updated annually</t>
        </is>
      </c>
    </row>
    <row r="9">
      <c r="A9" s="6" t="inlineStr">
        <is>
          <t>NHS surcharge rate (PSW, per year)</t>
        </is>
      </c>
      <c r="B9" s="7" t="n">
        <v>1035</v>
      </c>
      <c r="C9" s="8" t="inlineStr">
        <is>
          <t>GBP/yr</t>
        </is>
      </c>
      <c r="D9" s="8" t="inlineStr">
        <is>
          <t>GOV.UK — updated annually</t>
        </is>
      </c>
    </row>
    <row r="10">
      <c r="A10" s="6" t="inlineStr">
        <is>
          <t>Skilled Worker visa minimum salary</t>
        </is>
      </c>
      <c r="B10" s="7" t="n">
        <v>41700</v>
      </c>
      <c r="C10" s="8" t="inlineStr">
        <is>
          <t>GBP/yr</t>
        </is>
      </c>
      <c r="D10" s="8" t="inlineStr">
        <is>
          <t>GOV.UK — last changed Jul 2025</t>
        </is>
      </c>
    </row>
    <row r="11">
      <c r="A11" s="6" t="inlineStr">
        <is>
          <t>Skilled Worker new entrant threshold</t>
        </is>
      </c>
      <c r="B11" s="7" t="n">
        <v>33400</v>
      </c>
      <c r="C11" s="8" t="inlineStr">
        <is>
          <t>GBP/yr</t>
        </is>
      </c>
      <c r="D11" s="8" t="inlineStr">
        <is>
          <t>GOV.UK — last changed Jul 2025</t>
        </is>
      </c>
    </row>
    <row r="12">
      <c r="A12" s="6" t="inlineStr">
        <is>
          <t>Skilled Worker minimum hourly rate</t>
        </is>
      </c>
      <c r="B12" s="9" t="n">
        <v>17.13</v>
      </c>
      <c r="C12" s="8" t="inlineStr">
        <is>
          <t>GBP/hr</t>
        </is>
      </c>
      <c r="D12" s="8" t="inlineStr">
        <is>
          <t>GOV.UK — based on 48hr week</t>
        </is>
      </c>
    </row>
    <row r="14">
      <c r="A14" s="3" t="inlineStr">
        <is>
          <t>UNIVERSITY FEE STRUCTURE</t>
        </is>
      </c>
      <c r="B14" s="4" t="n"/>
      <c r="C14" s="4" t="n"/>
      <c r="D14" s="4" t="n"/>
    </row>
    <row r="15">
      <c r="A15" s="5" t="inlineStr">
        <is>
          <t>Parameter</t>
        </is>
      </c>
      <c r="B15" s="5" t="inlineStr">
        <is>
          <t>Value</t>
        </is>
      </c>
      <c r="C15" s="5" t="inlineStr">
        <is>
          <t>Unit</t>
        </is>
      </c>
      <c r="D15" s="5" t="inlineStr">
        <is>
          <t>Source</t>
        </is>
      </c>
    </row>
    <row r="16">
      <c r="A16" s="6" t="inlineStr">
        <is>
          <t>Average international MSc fee (non-London)</t>
        </is>
      </c>
      <c r="B16" s="7" t="n">
        <v>15500</v>
      </c>
      <c r="C16" s="8" t="inlineStr">
        <is>
          <t>GBP/yr</t>
        </is>
      </c>
      <c r="D16" s="8" t="inlineStr">
        <is>
          <t>HESA — updated annually</t>
        </is>
      </c>
    </row>
    <row r="17">
      <c r="A17" s="6" t="inlineStr">
        <is>
          <t>Average international MSc fee (London)</t>
        </is>
      </c>
      <c r="B17" s="7" t="n">
        <v>22000</v>
      </c>
      <c r="C17" s="8" t="inlineStr">
        <is>
          <t>GBP/yr</t>
        </is>
      </c>
      <c r="D17" s="8" t="inlineStr">
        <is>
          <t>HESA — updated annually</t>
        </is>
      </c>
    </row>
    <row r="18">
      <c r="A18" s="6" t="inlineStr">
        <is>
          <t>Domestic undergraduate fee cap</t>
        </is>
      </c>
      <c r="B18" s="7" t="n">
        <v>9535</v>
      </c>
      <c r="C18" s="8" t="inlineStr">
        <is>
          <t>GBP/yr</t>
        </is>
      </c>
      <c r="D18" s="8" t="inlineStr">
        <is>
          <t>DfE — last changed 2025</t>
        </is>
      </c>
    </row>
    <row r="19">
      <c r="A19" s="6" t="inlineStr">
        <is>
          <t>International fee premium (multiplier)</t>
        </is>
      </c>
      <c r="B19" s="10">
        <f>B16/B18</f>
        <v/>
      </c>
      <c r="C19" s="8" t="inlineStr">
        <is>
          <t>x</t>
        </is>
      </c>
      <c r="D19" s="8">
        <f>B16/B18</f>
        <v/>
      </c>
    </row>
    <row r="20">
      <c r="A20" s="6" t="inlineStr">
        <is>
          <t>Total international fee income (sector)</t>
        </is>
      </c>
      <c r="B20" s="7" t="n">
        <v>10000000000</v>
      </c>
      <c r="C20" s="8" t="inlineStr">
        <is>
          <t>GBP</t>
        </is>
      </c>
      <c r="D20" s="8" t="inlineStr">
        <is>
          <t>HESA 2023/24</t>
        </is>
      </c>
    </row>
    <row r="21">
      <c r="A21" s="6" t="inlineStr">
        <is>
          <t>International share of total fee income</t>
        </is>
      </c>
      <c r="B21" s="11" t="n">
        <v>0.45</v>
      </c>
      <c r="C21" s="8" t="inlineStr">
        <is>
          <t>%</t>
        </is>
      </c>
      <c r="D21" s="8" t="inlineStr">
        <is>
          <t>HESA — 45p of every pound</t>
        </is>
      </c>
    </row>
    <row r="23">
      <c r="A23" s="3" t="inlineStr">
        <is>
          <t>LABOUR MARKET DATA</t>
        </is>
      </c>
      <c r="B23" s="4" t="n"/>
      <c r="C23" s="4" t="n"/>
      <c r="D23" s="4" t="n"/>
    </row>
    <row r="24">
      <c r="A24" s="5" t="inlineStr">
        <is>
          <t>Parameter</t>
        </is>
      </c>
      <c r="B24" s="5" t="inlineStr">
        <is>
          <t>Value</t>
        </is>
      </c>
      <c r="C24" s="5" t="inlineStr">
        <is>
          <t>Unit</t>
        </is>
      </c>
      <c r="D24" s="5" t="inlineStr">
        <is>
          <t>Source</t>
        </is>
      </c>
    </row>
    <row r="25">
      <c r="A25" s="6" t="inlineStr">
        <is>
          <t>Median graduate salary (all subjects)</t>
        </is>
      </c>
      <c r="B25" s="7" t="n">
        <v>42000</v>
      </c>
      <c r="C25" s="8" t="inlineStr">
        <is>
          <t>GBP/yr</t>
        </is>
      </c>
      <c r="D25" s="8" t="inlineStr">
        <is>
          <t>ONS ASHE 2024</t>
        </is>
      </c>
    </row>
    <row r="26">
      <c r="A26" s="6" t="inlineStr">
        <is>
          <t>Median postgraduate salary</t>
        </is>
      </c>
      <c r="B26" s="7" t="n">
        <v>47000</v>
      </c>
      <c r="C26" s="8" t="inlineStr">
        <is>
          <t>GBP/yr</t>
        </is>
      </c>
      <c r="D26" s="8" t="inlineStr">
        <is>
          <t>ONS ASHE 2024</t>
        </is>
      </c>
    </row>
    <row r="27">
      <c r="A27" s="6" t="inlineStr">
        <is>
          <t>Entry-level data analyst salary</t>
        </is>
      </c>
      <c r="B27" s="7" t="n">
        <v>28000</v>
      </c>
      <c r="C27" s="8" t="inlineStr">
        <is>
          <t>GBP/yr</t>
        </is>
      </c>
      <c r="D27" s="8" t="inlineStr">
        <is>
          <t>Glassdoor/Indeed avg</t>
        </is>
      </c>
    </row>
    <row r="28">
      <c r="A28" s="6" t="inlineStr">
        <is>
          <t>Entry-level data engineer salary</t>
        </is>
      </c>
      <c r="B28" s="7" t="n">
        <v>32000</v>
      </c>
      <c r="C28" s="8" t="inlineStr">
        <is>
          <t>GBP/yr</t>
        </is>
      </c>
      <c r="D28" s="8" t="inlineStr">
        <is>
          <t>Glassdoor/Indeed avg</t>
        </is>
      </c>
    </row>
    <row r="29">
      <c r="A29" s="6" t="inlineStr">
        <is>
          <t>National Living Wage (hourly)</t>
        </is>
      </c>
      <c r="B29" s="9" t="n">
        <v>12.21</v>
      </c>
      <c r="C29" s="8" t="inlineStr">
        <is>
          <t>GBP/hr</t>
        </is>
      </c>
      <c r="D29" s="8" t="inlineStr">
        <is>
          <t>GOV.UK — April 2025</t>
        </is>
      </c>
    </row>
    <row r="30">
      <c r="A30" s="6" t="inlineStr">
        <is>
          <t>PSW graduates earning within 1 month</t>
        </is>
      </c>
      <c r="B30" s="11" t="n">
        <v>0.62</v>
      </c>
      <c r="C30" s="8" t="inlineStr">
        <is>
          <t>%</t>
        </is>
      </c>
      <c r="D30" s="8" t="inlineStr">
        <is>
          <t>GOV.UK evaluation 2024</t>
        </is>
      </c>
    </row>
    <row r="31">
      <c r="A31" s="6" t="inlineStr">
        <is>
          <t>PSW graduates in skilled employment</t>
        </is>
      </c>
      <c r="B31" s="11" t="n">
        <v>0.45</v>
      </c>
      <c r="C31" s="8" t="inlineStr">
        <is>
          <t>%</t>
        </is>
      </c>
      <c r="D31" s="8" t="inlineStr">
        <is>
          <t>Graduate Outcomes Survey</t>
        </is>
      </c>
    </row>
    <row r="32">
      <c r="A32" s="6" t="inlineStr">
        <is>
          <t>PSW graduates in study-related work</t>
        </is>
      </c>
      <c r="B32" s="11" t="n">
        <v>0.65</v>
      </c>
      <c r="C32" s="8" t="inlineStr">
        <is>
          <t>%</t>
        </is>
      </c>
      <c r="D32" s="8" t="inlineStr">
        <is>
          <t>GOV.UK evaluation 2024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UK Graduate Talent Pipeline — Calculated Analysis</t>
        </is>
      </c>
    </row>
    <row r="2">
      <c r="A2" s="2" t="inlineStr">
        <is>
          <t>All values auto-calculate from Model Inputs sheet. Green cells = formulas.</t>
        </is>
      </c>
    </row>
    <row r="4">
      <c r="A4" s="3" t="inlineStr">
        <is>
          <t>COST-BENEFIT: INTERNATIONAL MSc GRADUATE</t>
        </is>
      </c>
      <c r="B4" s="4" t="n"/>
      <c r="C4" s="4" t="n"/>
      <c r="D4" s="4" t="n"/>
    </row>
    <row r="5">
      <c r="A5" s="5" t="inlineStr">
        <is>
          <t>Metric</t>
        </is>
      </c>
      <c r="B5" s="5" t="inlineStr">
        <is>
          <t>Amount (GBP)</t>
        </is>
      </c>
      <c r="C5" s="5" t="inlineStr">
        <is>
          <t>Calculation</t>
        </is>
      </c>
      <c r="D5" s="5" t="inlineStr">
        <is>
          <t>Finding</t>
        </is>
      </c>
    </row>
    <row r="6">
      <c r="A6" s="6" t="inlineStr">
        <is>
          <t>Total visa + NHS costs (student year)</t>
        </is>
      </c>
      <c r="B6" s="10">
        <f>'Model Inputs'!B6+'Model Inputs'!B8</f>
        <v/>
      </c>
      <c r="C6" s="8" t="inlineStr">
        <is>
          <t>Visa + 1yr NHS</t>
        </is>
      </c>
      <c r="D6" s="8" t="inlineStr"/>
    </row>
    <row r="7">
      <c r="A7" s="6" t="inlineStr">
        <is>
          <t>Total visa + NHS costs (PSW 2 years)</t>
        </is>
      </c>
      <c r="B7" s="10">
        <f>'Model Inputs'!B7+'Model Inputs'!B9*2</f>
        <v/>
      </c>
      <c r="C7" s="8" t="inlineStr">
        <is>
          <t>Visa + 2yr NHS</t>
        </is>
      </c>
      <c r="D7" s="8" t="inlineStr"/>
    </row>
    <row r="8">
      <c r="A8" s="6" t="inlineStr">
        <is>
          <t>Total government fees paid</t>
        </is>
      </c>
      <c r="B8" s="10">
        <f>B6+B7</f>
        <v/>
      </c>
      <c r="C8" s="8" t="inlineStr">
        <is>
          <t>Sum of above</t>
        </is>
      </c>
      <c r="D8" s="8" t="inlineStr"/>
    </row>
    <row r="9">
      <c r="A9" s="6" t="inlineStr">
        <is>
          <t>Tuition fee paid (non-London MSc)</t>
        </is>
      </c>
      <c r="B9" s="10">
        <f>'Model Inputs'!B16</f>
        <v/>
      </c>
      <c r="C9" s="8" t="inlineStr">
        <is>
          <t>Direct to university</t>
        </is>
      </c>
      <c r="D9" s="8" t="inlineStr"/>
    </row>
    <row r="10">
      <c r="A10" s="6" t="inlineStr">
        <is>
          <t>Total cost to study + stay 3 years</t>
        </is>
      </c>
      <c r="B10" s="10">
        <f>B8+B9</f>
        <v/>
      </c>
      <c r="C10" s="8" t="inlineStr">
        <is>
          <t>Fees + tuition</t>
        </is>
      </c>
      <c r="D10" s="8" t="inlineStr"/>
    </row>
    <row r="11">
      <c r="A11" s="6" t="inlineStr">
        <is>
          <t>Estimated living costs (3 years)</t>
        </is>
      </c>
      <c r="B11" s="7" t="n">
        <v>30000</v>
      </c>
      <c r="C11" s="8" t="inlineStr"/>
      <c r="D11" s="8" t="inlineStr">
        <is>
          <t>10k/yr average</t>
        </is>
      </c>
    </row>
    <row r="12">
      <c r="A12" s="12" t="inlineStr">
        <is>
          <t>TOTAL INVESTMENT BY GRADUATE</t>
        </is>
      </c>
      <c r="B12" s="10">
        <f>B10+B11</f>
        <v/>
      </c>
      <c r="C12" s="8" t="inlineStr"/>
      <c r="D12" s="8" t="inlineStr"/>
    </row>
    <row r="13">
      <c r="A13" s="6" t="inlineStr"/>
      <c r="B13" s="13" t="n"/>
      <c r="C13" s="8" t="inlineStr"/>
      <c r="D13" s="8" t="inlineStr"/>
    </row>
    <row r="14">
      <c r="A14" s="6" t="inlineStr">
        <is>
          <t>Revenue to UK per international MSc grad</t>
        </is>
      </c>
      <c r="B14" s="10">
        <f>B12</f>
        <v/>
      </c>
      <c r="C14" s="8" t="inlineStr"/>
      <c r="D14" s="8" t="inlineStr">
        <is>
          <t>What the UK receives</t>
        </is>
      </c>
    </row>
    <row r="15">
      <c r="A15" s="6" t="inlineStr">
        <is>
          <t>Skilled Worker salary threshold</t>
        </is>
      </c>
      <c r="B15" s="10">
        <f>'Model Inputs'!B10</f>
        <v/>
      </c>
      <c r="C15" s="8" t="inlineStr"/>
      <c r="D15" s="8" t="inlineStr">
        <is>
          <t>What they need to earn to stay</t>
        </is>
      </c>
    </row>
    <row r="16">
      <c r="A16" s="6" t="inlineStr">
        <is>
          <t>Typical entry salary achieved</t>
        </is>
      </c>
      <c r="B16" s="10">
        <f>'Model Inputs'!B27</f>
        <v/>
      </c>
      <c r="C16" s="8" t="inlineStr"/>
      <c r="D16" s="8" t="inlineStr">
        <is>
          <t>What they actually earn</t>
        </is>
      </c>
    </row>
    <row r="17">
      <c r="A17" s="12" t="inlineStr">
        <is>
          <t>SALARY GAP (threshold - reality)</t>
        </is>
      </c>
      <c r="B17" s="10">
        <f>B15-B16</f>
        <v/>
      </c>
      <c r="C17" s="8" t="inlineStr"/>
      <c r="D17" s="8" t="inlineStr">
        <is>
          <t>This gap forces graduates out</t>
        </is>
      </c>
    </row>
    <row r="18">
      <c r="A18" s="6" t="inlineStr">
        <is>
          <t>Gap as % of entry salary</t>
        </is>
      </c>
      <c r="B18" s="14">
        <f>B17/B16</f>
        <v/>
      </c>
      <c r="C18" s="8" t="inlineStr"/>
      <c r="D18" s="8" t="inlineStr"/>
    </row>
    <row r="21">
      <c r="A21" s="3" t="inlineStr">
        <is>
          <t>TALENT RETENTION RATE</t>
        </is>
      </c>
      <c r="B21" s="4" t="n"/>
      <c r="C21" s="4" t="n"/>
      <c r="D21" s="4" t="n"/>
    </row>
    <row r="22">
      <c r="A22" s="5" t="inlineStr">
        <is>
          <t>Metric</t>
        </is>
      </c>
      <c r="B22" s="5" t="inlineStr">
        <is>
          <t>Value</t>
        </is>
      </c>
      <c r="C22" s="5" t="inlineStr">
        <is>
          <t>Calculation</t>
        </is>
      </c>
      <c r="D22" s="5" t="inlineStr">
        <is>
          <t>Implication</t>
        </is>
      </c>
    </row>
    <row r="23">
      <c r="A23" s="6" t="inlineStr">
        <is>
          <t>International students graduating per year (est)</t>
        </is>
      </c>
      <c r="B23" s="7" t="n">
        <v>200000</v>
      </c>
      <c r="C23" s="8" t="inlineStr"/>
      <c r="D23" s="8" t="inlineStr">
        <is>
          <t>HESA estimate</t>
        </is>
      </c>
    </row>
    <row r="24">
      <c r="A24" s="6" t="inlineStr">
        <is>
          <t>PSW visa uptake rate</t>
        </is>
      </c>
      <c r="B24" s="11" t="n">
        <v>0.6</v>
      </c>
      <c r="C24" s="8" t="inlineStr"/>
      <c r="D24" s="8" t="inlineStr">
        <is>
          <t>Not all apply</t>
        </is>
      </c>
    </row>
    <row r="25">
      <c r="A25" s="6" t="inlineStr">
        <is>
          <t>Graduates entering skilled employment</t>
        </is>
      </c>
      <c r="B25" s="15">
        <f>'Model Inputs'!B31</f>
        <v/>
      </c>
      <c r="C25" s="8" t="inlineStr"/>
      <c r="D25" s="8" t="inlineStr"/>
    </row>
    <row r="26">
      <c r="A26" s="6" t="inlineStr">
        <is>
          <t>Graduates who could meet salary threshold</t>
        </is>
      </c>
      <c r="B26" s="11" t="n">
        <v>0.15</v>
      </c>
      <c r="C26" s="8" t="inlineStr"/>
      <c r="D26" s="8" t="inlineStr">
        <is>
          <t>Estimated 15% earn 41,700+</t>
        </is>
      </c>
    </row>
    <row r="27">
      <c r="A27" s="6" t="inlineStr">
        <is>
          <t>Skilled Worker visa conversions (est)</t>
        </is>
      </c>
      <c r="B27" s="15">
        <f>B23*B26</f>
        <v/>
      </c>
      <c r="C27" s="8" t="inlineStr"/>
      <c r="D27" s="8" t="inlineStr"/>
    </row>
    <row r="28">
      <c r="A28" s="12" t="inlineStr">
        <is>
          <t>TALENT RETAINED (%)</t>
        </is>
      </c>
      <c r="B28" s="15">
        <f>B27/B23</f>
        <v/>
      </c>
      <c r="C28" s="8" t="inlineStr"/>
      <c r="D28" s="8" t="inlineStr">
        <is>
          <t>Of all graduates</t>
        </is>
      </c>
    </row>
    <row r="29">
      <c r="A29" s="12" t="inlineStr">
        <is>
          <t>TALENT LOST (%)</t>
        </is>
      </c>
      <c r="B29" s="15">
        <f>1-B28</f>
        <v/>
      </c>
      <c r="C29" s="8" t="inlineStr"/>
      <c r="D29" s="8" t="inlineStr">
        <is>
          <t>Trained then exported</t>
        </is>
      </c>
    </row>
    <row r="30">
      <c r="A30" s="12" t="inlineStr">
        <is>
          <t>Cost to train talent that leaves</t>
        </is>
      </c>
      <c r="B30" s="15">
        <f>B29*B12</f>
        <v/>
      </c>
      <c r="C30" s="8" t="inlineStr"/>
      <c r="D30" s="8" t="inlineStr">
        <is>
          <t>Economic waste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A-Level Attainment by Ethnicity — Government Data</t>
        </is>
      </c>
    </row>
    <row r="2">
      <c r="A2" s="2" t="inlineStr">
        <is>
          <t>Source: Department for Education, explore-education-statistics.service.gov.uk</t>
        </is>
      </c>
    </row>
    <row r="4">
      <c r="A4" s="5" t="inlineStr">
        <is>
          <t>Ethnic Group</t>
        </is>
      </c>
      <c r="B4" s="5" t="inlineStr">
        <is>
          <t>Total Students</t>
        </is>
      </c>
      <c r="C4" s="5" t="inlineStr">
        <is>
          <t>Level 3 Achieved</t>
        </is>
      </c>
      <c r="D4" s="5" t="inlineStr">
        <is>
          <t>Rate (%)</t>
        </is>
      </c>
      <c r="E4" s="5" t="inlineStr">
        <is>
          <t>Gap from Best (pp)</t>
        </is>
      </c>
    </row>
    <row r="5">
      <c r="A5" s="6" t="inlineStr">
        <is>
          <t>Asian or Asian British - Chinese</t>
        </is>
      </c>
      <c r="B5" s="16" t="n">
        <v>3221</v>
      </c>
      <c r="C5" s="16" t="n">
        <v>2876</v>
      </c>
      <c r="D5" s="12" t="n">
        <v>89.3</v>
      </c>
      <c r="E5" s="17" t="n">
        <v>0</v>
      </c>
    </row>
    <row r="6">
      <c r="A6" s="6" t="inlineStr">
        <is>
          <t>Asian or Asian British - Indian</t>
        </is>
      </c>
      <c r="B6" s="16" t="n">
        <v>18632</v>
      </c>
      <c r="C6" s="16" t="n">
        <v>15975</v>
      </c>
      <c r="D6" s="12" t="n">
        <v>85.7</v>
      </c>
      <c r="E6" s="6" t="n">
        <v>-3.6</v>
      </c>
    </row>
    <row r="7">
      <c r="A7" s="6" t="inlineStr">
        <is>
          <t>Asian or Asian British - Bangladeshi</t>
        </is>
      </c>
      <c r="B7" s="16" t="n">
        <v>10374</v>
      </c>
      <c r="C7" s="16" t="n">
        <v>8202</v>
      </c>
      <c r="D7" s="12" t="n">
        <v>79.09999999999999</v>
      </c>
      <c r="E7" s="18" t="n">
        <v>-10.2</v>
      </c>
    </row>
    <row r="8">
      <c r="A8" s="6" t="inlineStr">
        <is>
          <t>Asian or Asian British</t>
        </is>
      </c>
      <c r="B8" s="16" t="n">
        <v>69063</v>
      </c>
      <c r="C8" s="16" t="n">
        <v>54214</v>
      </c>
      <c r="D8" s="12" t="n">
        <v>78.5</v>
      </c>
      <c r="E8" s="18" t="n">
        <v>-10.8</v>
      </c>
    </row>
    <row r="9">
      <c r="A9" s="6" t="inlineStr">
        <is>
          <t>Black or Black British - Black African</t>
        </is>
      </c>
      <c r="B9" s="16" t="n">
        <v>24720</v>
      </c>
      <c r="C9" s="16" t="n">
        <v>18874</v>
      </c>
      <c r="D9" s="12" t="n">
        <v>76.40000000000001</v>
      </c>
      <c r="E9" s="18" t="n">
        <v>-12.9</v>
      </c>
    </row>
    <row r="10">
      <c r="A10" s="6" t="inlineStr">
        <is>
          <t>Any other ethnic group</t>
        </is>
      </c>
      <c r="B10" s="16" t="n">
        <v>11680</v>
      </c>
      <c r="C10" s="16" t="n">
        <v>8245</v>
      </c>
      <c r="D10" s="12" t="n">
        <v>70.59999999999999</v>
      </c>
      <c r="E10" s="18" t="n">
        <v>-18.7</v>
      </c>
    </row>
    <row r="11">
      <c r="A11" s="6" t="inlineStr">
        <is>
          <t>Black or Black British</t>
        </is>
      </c>
      <c r="B11" s="16" t="n">
        <v>35544</v>
      </c>
      <c r="C11" s="16" t="n">
        <v>25099</v>
      </c>
      <c r="D11" s="12" t="n">
        <v>70.59999999999999</v>
      </c>
      <c r="E11" s="18" t="n">
        <v>-18.7</v>
      </c>
    </row>
    <row r="12">
      <c r="A12" s="6" t="inlineStr">
        <is>
          <t>Asian or Asian British - Pakistani</t>
        </is>
      </c>
      <c r="B12" s="16" t="n">
        <v>25406</v>
      </c>
      <c r="C12" s="16" t="n">
        <v>17855</v>
      </c>
      <c r="D12" s="12" t="n">
        <v>70.3</v>
      </c>
      <c r="E12" s="18" t="n">
        <v>-19</v>
      </c>
    </row>
    <row r="13">
      <c r="A13" s="6" t="inlineStr">
        <is>
          <t>Mixed Dual background</t>
        </is>
      </c>
      <c r="B13" s="16" t="n">
        <v>32388</v>
      </c>
      <c r="C13" s="16" t="n">
        <v>20430</v>
      </c>
      <c r="D13" s="12" t="n">
        <v>63.1</v>
      </c>
      <c r="E13" s="18" t="n">
        <v>-26.2</v>
      </c>
    </row>
    <row r="14">
      <c r="A14" s="6" t="inlineStr">
        <is>
          <t>White</t>
        </is>
      </c>
      <c r="B14" s="16" t="n">
        <v>381396</v>
      </c>
      <c r="C14" s="16" t="n">
        <v>212822</v>
      </c>
      <c r="D14" s="12" t="n">
        <v>55.8</v>
      </c>
      <c r="E14" s="18" t="n">
        <v>-33.5</v>
      </c>
    </row>
    <row r="15">
      <c r="A15" s="6" t="inlineStr">
        <is>
          <t>Black or Black British - Black Caribbean</t>
        </is>
      </c>
      <c r="B15" s="16" t="n">
        <v>6450</v>
      </c>
      <c r="C15" s="16" t="n">
        <v>3295</v>
      </c>
      <c r="D15" s="12" t="n">
        <v>51.1</v>
      </c>
      <c r="E15" s="18" t="n">
        <v>-38.2</v>
      </c>
    </row>
    <row r="18">
      <c r="A18" s="19" t="inlineStr">
        <is>
          <t>ANALYST NOTE:</t>
        </is>
      </c>
    </row>
    <row r="19">
      <c r="A19" s="20" t="inlineStr">
        <is>
          <t>Communities with strong immigration ties (Indian, Chinese, Black African) consistently</t>
        </is>
      </c>
    </row>
    <row r="20">
      <c r="A20" s="20" t="inlineStr">
        <is>
          <t>achieve attainment rates at or above the national average. This contradicts the narrative</t>
        </is>
      </c>
    </row>
    <row r="21">
      <c r="A21" s="20" t="inlineStr">
        <is>
          <t>that immigration lowers educational standards. The data shows the opposite.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What If? — Policy Scenario Modelling</t>
        </is>
      </c>
    </row>
    <row r="2">
      <c r="A2" s="2" t="inlineStr">
        <is>
          <t>Change BLUE input cells to model different policy scenarios.</t>
        </is>
      </c>
    </row>
    <row r="4">
      <c r="A4" s="3" t="inlineStr">
        <is>
          <t>SCENARIO: LOWER SALARY THRESHOLD</t>
        </is>
      </c>
      <c r="B4" s="4" t="n"/>
      <c r="C4" s="4" t="n"/>
      <c r="D4" s="4" t="n"/>
    </row>
    <row r="5">
      <c r="A5" s="5" t="inlineStr">
        <is>
          <t>Parameter</t>
        </is>
      </c>
      <c r="B5" s="5" t="inlineStr">
        <is>
          <t>Current</t>
        </is>
      </c>
      <c r="C5" s="5" t="inlineStr">
        <is>
          <t>Proposed</t>
        </is>
      </c>
      <c r="D5" s="5" t="inlineStr">
        <is>
          <t>Impact</t>
        </is>
      </c>
    </row>
    <row r="6">
      <c r="A6" s="6" t="inlineStr">
        <is>
          <t>Salary threshold</t>
        </is>
      </c>
      <c r="B6" s="10">
        <f>'Model Inputs'!B10</f>
        <v/>
      </c>
      <c r="C6" s="7" t="n">
        <v>30000</v>
      </c>
      <c r="D6" s="8" t="inlineStr"/>
    </row>
    <row r="7">
      <c r="A7" s="6" t="inlineStr">
        <is>
          <t>Entry-level data analyst salary</t>
        </is>
      </c>
      <c r="B7" s="10">
        <f>'Model Inputs'!B27</f>
        <v/>
      </c>
      <c r="C7" s="10">
        <f>'Model Inputs'!B27</f>
        <v/>
      </c>
      <c r="D7" s="8" t="inlineStr"/>
    </row>
    <row r="8">
      <c r="A8" s="6" t="inlineStr">
        <is>
          <t>Gap (threshold - salary)</t>
        </is>
      </c>
      <c r="B8" s="10">
        <f>B6-B7</f>
        <v/>
      </c>
      <c r="C8" s="10">
        <f>C6-C7</f>
        <v/>
      </c>
      <c r="D8" s="8" t="inlineStr"/>
    </row>
    <row r="9">
      <c r="A9" s="12" t="inlineStr">
        <is>
          <t>Can a data analyst qualify?</t>
        </is>
      </c>
      <c r="B9" s="10">
        <f>IF(B8&gt;0,"NO","YES")</f>
        <v/>
      </c>
      <c r="C9" s="10">
        <f>IF(C8&gt;0,"NO","YES")</f>
        <v/>
      </c>
      <c r="D9" s="8" t="inlineStr"/>
    </row>
    <row r="10">
      <c r="A10" s="6" t="inlineStr">
        <is>
          <t>Estimated additional graduates retained</t>
        </is>
      </c>
      <c r="B10" s="6" t="inlineStr"/>
      <c r="C10" s="7" t="n">
        <v>25000</v>
      </c>
      <c r="D10" s="8" t="inlineStr">
        <is>
          <t>Per year estimate</t>
        </is>
      </c>
    </row>
    <row r="11">
      <c r="A11" s="6" t="inlineStr">
        <is>
          <t>Additional tax revenue (20% rate)</t>
        </is>
      </c>
      <c r="B11" s="6" t="inlineStr"/>
      <c r="C11" s="10">
        <f>C10*C6*0.2</f>
        <v/>
      </c>
      <c r="D11" s="8" t="inlineStr">
        <is>
          <t>Income tax alone</t>
        </is>
      </c>
    </row>
    <row r="12">
      <c r="A12" s="6" t="inlineStr">
        <is>
          <t>Additional NI revenue</t>
        </is>
      </c>
      <c r="B12" s="6" t="inlineStr"/>
      <c r="C12" s="10">
        <f>C10*C6*0.12</f>
        <v/>
      </c>
      <c r="D12" s="8" t="inlineStr">
        <is>
          <t>Employee NI</t>
        </is>
      </c>
    </row>
    <row r="13">
      <c r="A13" s="6" t="inlineStr">
        <is>
          <t>Additional consumer spending</t>
        </is>
      </c>
      <c r="B13" s="6" t="inlineStr"/>
      <c r="C13" s="10">
        <f>C10*C6*0.5</f>
        <v/>
      </c>
      <c r="D13" s="8" t="inlineStr">
        <is>
          <t>50% spent in UK economy</t>
        </is>
      </c>
    </row>
    <row r="14">
      <c r="A14" s="12" t="inlineStr">
        <is>
          <t>TOTAL ECONOMIC GAIN</t>
        </is>
      </c>
      <c r="B14" s="6" t="inlineStr"/>
      <c r="C14" s="10">
        <f>C11+C12+C13</f>
        <v/>
      </c>
      <c r="D14" s="8" t="inlineStr"/>
    </row>
    <row r="17">
      <c r="A17" s="3" t="inlineStr">
        <is>
          <t>SCENARIO: GRADUATE RETENTION PROGRAMME</t>
        </is>
      </c>
      <c r="B17" s="4" t="n"/>
      <c r="C17" s="4" t="n"/>
      <c r="D17" s="4" t="n"/>
    </row>
    <row r="18">
      <c r="A18" s="20" t="inlineStr">
        <is>
          <t>If the UK retained 50% of international MSc graduates for 5 years:</t>
        </is>
      </c>
    </row>
    <row r="19">
      <c r="A19" s="20" t="inlineStr">
        <is>
          <t>Graduates retained per year</t>
        </is>
      </c>
      <c r="B19" s="21" t="n">
        <v>100000</v>
      </c>
    </row>
    <row r="20">
      <c r="A20" s="20" t="inlineStr">
        <is>
          <t>Average salary earned</t>
        </is>
      </c>
      <c r="B20" s="21" t="n">
        <v>35000</v>
      </c>
    </row>
    <row r="21">
      <c r="A21" s="20" t="inlineStr">
        <is>
          <t>Annual income tax generated</t>
        </is>
      </c>
      <c r="B21" s="22">
        <f>B19*B20*0.2</f>
        <v/>
      </c>
    </row>
    <row r="22">
      <c r="A22" s="20" t="inlineStr">
        <is>
          <t>Annual NI generated</t>
        </is>
      </c>
      <c r="B22" s="22">
        <f>B19*B20*0.12</f>
        <v/>
      </c>
    </row>
    <row r="23">
      <c r="A23" s="23" t="inlineStr">
        <is>
          <t>TOTAL TAX REVENUE OVER 5 YEARS</t>
        </is>
      </c>
      <c r="B23" s="22">
        <f>(B21+B22)*5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</cols>
  <sheetData>
    <row r="1">
      <c r="A1" s="1" t="inlineStr">
        <is>
          <t>UK Graduate Talent Pipeline — Findings &amp; Recommendations</t>
        </is>
      </c>
    </row>
    <row r="3">
      <c r="A3" s="24" t="inlineStr">
        <is>
          <t>#</t>
        </is>
      </c>
      <c r="B3" s="25" t="inlineStr">
        <is>
          <t>Finding</t>
        </is>
      </c>
    </row>
    <row r="4">
      <c r="A4" s="23" t="inlineStr">
        <is>
          <t>1</t>
        </is>
      </c>
      <c r="B4" s="26" t="inlineStr">
        <is>
          <t>The UK higher education sector generates 10B/year from international students — 20% of total income. This is an export industry, not a charity.</t>
        </is>
      </c>
    </row>
    <row r="5">
      <c r="A5" s="23" t="inlineStr">
        <is>
          <t>2</t>
        </is>
      </c>
      <c r="B5" s="26" t="inlineStr">
        <is>
          <t>The Skilled Worker visa salary threshold (41,700) exceeds the entry-level salary for most graduate professions (25-32k). This creates a structural barrier that prevents graduates from transitioning to sponsored employment.</t>
        </is>
      </c>
    </row>
    <row r="6">
      <c r="A6" s="23" t="inlineStr">
        <is>
          <t>3</t>
        </is>
      </c>
      <c r="B6" s="26" t="inlineStr">
        <is>
          <t>Only 45% of PSW graduates secure skilled employment. 35% work in hospitality, retail, or warehouse roles despite holding postgraduate qualifications.</t>
        </is>
      </c>
    </row>
    <row r="7">
      <c r="A7" s="23" t="inlineStr">
        <is>
          <t>4</t>
        </is>
      </c>
      <c r="B7" s="26" t="inlineStr">
        <is>
          <t>Government data shows that students from immigrant-background communities (Indian, Chinese, Black African) consistently achieve attainment rates at or above the national average at A-Level. Immigration strengthens educational outcomes.</t>
        </is>
      </c>
    </row>
    <row r="8">
      <c r="A8" s="23" t="inlineStr">
        <is>
          <t>5</t>
        </is>
      </c>
      <c r="B8" s="26" t="inlineStr">
        <is>
          <t>Deprivation is a stronger predictor of attainment than ethnicity. The attainment gap between disadvantaged and non-disadvantaged students within the same ethnic group exceeds the gap between ethnic groups.</t>
        </is>
      </c>
    </row>
    <row r="9">
      <c r="A9" s="23" t="inlineStr">
        <is>
          <t>6</t>
        </is>
      </c>
      <c r="B9" s="26" t="inlineStr">
        <is>
          <t>The attainment gap has not significantly narrowed over 10 years of widening participation policy. Current interventions are insufficient.</t>
        </is>
      </c>
    </row>
    <row r="10">
      <c r="A10" s="23" t="inlineStr">
        <is>
          <t>7</t>
        </is>
      </c>
      <c r="B10" s="26" t="inlineStr">
        <is>
          <t>The current pipeline model extracts maximum revenue from international students (tuition + visa fees + NHS surcharge) then structurally prevents most from contributing to the UK labour market. This represents an economic inefficiency.</t>
        </is>
      </c>
    </row>
    <row r="12">
      <c r="A12" s="24" t="inlineStr"/>
      <c r="B12" s="25" t="inlineStr"/>
    </row>
    <row r="13">
      <c r="A13" s="24" t="inlineStr">
        <is>
          <t>#</t>
        </is>
      </c>
      <c r="B13" s="25" t="inlineStr">
        <is>
          <t>Recommendation</t>
        </is>
      </c>
    </row>
    <row r="14">
      <c r="A14" s="23" t="inlineStr">
        <is>
          <t>R1</t>
        </is>
      </c>
      <c r="B14" s="26" t="inlineStr">
        <is>
          <t>Introduce a post-study salary threshold aligned with actual graduate salaries (28-30k) rather than the general Skilled Worker threshold (41,700). This retains skilled graduates who are ready to contribute.</t>
        </is>
      </c>
    </row>
    <row r="15">
      <c r="A15" s="23" t="inlineStr">
        <is>
          <t>R2</t>
        </is>
      </c>
      <c r="B15" s="26" t="inlineStr">
        <is>
          <t>Create a Graduate Retention Pathway allowing graduates in shortage occupations to transition to Skilled Worker visas at a reduced salary threshold for the first 3 years.</t>
        </is>
      </c>
    </row>
    <row r="16">
      <c r="A16" s="23" t="inlineStr">
        <is>
          <t>R3</t>
        </is>
      </c>
      <c r="B16" s="26" t="inlineStr">
        <is>
          <t>Publish annual data on PSW graduate employment outcomes by subject, university, and salary band. Current reporting lacks the granularity needed for evidence-based policy.</t>
        </is>
      </c>
    </row>
    <row r="17">
      <c r="A17" s="23" t="inlineStr">
        <is>
          <t>R4</t>
        </is>
      </c>
      <c r="B17" s="26" t="inlineStr">
        <is>
          <t>Model the fiscal impact of graduate retention vs departure. This analysis estimates that retaining 100,000 graduates at 35k average salary would generate 5.6B in tax and NI over 5 years.</t>
        </is>
      </c>
    </row>
    <row r="18">
      <c r="A18" s="23" t="inlineStr">
        <is>
          <t>R5</t>
        </is>
      </c>
      <c r="B18" s="26" t="inlineStr">
        <is>
          <t>Address deprivation as the primary driver of the attainment gap, rather than ethnicity. Current policy focuses on the wrong variable.</t>
        </is>
      </c>
    </row>
    <row r="20">
      <c r="A20" s="20" t="inlineStr"/>
    </row>
    <row r="21">
      <c r="A21" s="19" t="inlineStr">
        <is>
          <t>DATA</t>
        </is>
      </c>
    </row>
    <row r="22">
      <c r="B22" s="2" t="inlineStr">
        <is>
          <t>Department for Education — explore-education-statistics.service.gov.uk</t>
        </is>
      </c>
    </row>
    <row r="23">
      <c r="B23" s="2" t="inlineStr">
        <is>
          <t>HESA Higher Education Student Statistics — hesa.ac.uk</t>
        </is>
      </c>
    </row>
    <row r="24">
      <c r="B24" s="2" t="inlineStr">
        <is>
          <t>GOV.UK Graduate Route Evaluation — gov.uk/government/publications/graduate-route-evaluation</t>
        </is>
      </c>
    </row>
    <row r="25">
      <c r="B25" s="2" t="inlineStr">
        <is>
          <t>ONS Annual Survey of Hours and Earnings — ons.gov.uk</t>
        </is>
      </c>
    </row>
    <row r="27">
      <c r="A27" s="19" t="inlineStr">
        <is>
          <t>AUTHOR</t>
        </is>
      </c>
    </row>
    <row r="28">
      <c r="B28" s="20" t="inlineStr">
        <is>
          <t>Pawan Singh Kapkoti — MSc Data Analytics, Aston University</t>
        </is>
      </c>
    </row>
    <row r="29">
      <c r="B29" s="20" t="inlineStr">
        <is>
          <t>Microsoft Certified: Power BI Data Analyst Associate (PL-300)</t>
        </is>
      </c>
    </row>
    <row r="30">
      <c r="B30" s="2" t="inlineStr">
        <is>
          <t>github.com/Pawansingh3889 | linkedin.com/in/pawan-singh-kapkoti-100176347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Case Study: Single Graduate Pipeline Journey</t>
        </is>
      </c>
    </row>
    <row r="2">
      <c r="A2" s="2" t="inlineStr">
        <is>
          <t>One data point in the pipeline. Update blue cells to model any graduate.</t>
        </is>
      </c>
    </row>
    <row r="4">
      <c r="A4" s="3" t="inlineStr">
        <is>
          <t>GRADUATE PROFILE (Updateable)</t>
        </is>
      </c>
      <c r="B4" s="4" t="n"/>
      <c r="C4" s="4" t="n"/>
      <c r="D4" s="4" t="n"/>
    </row>
    <row r="5">
      <c r="A5" s="5" t="inlineStr">
        <is>
          <t>Field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Notes</t>
        </is>
      </c>
    </row>
    <row r="6">
      <c r="A6" s="6" t="inlineStr">
        <is>
          <t>Name</t>
        </is>
      </c>
      <c r="B6" s="27" t="inlineStr">
        <is>
          <t>Pawan Singh Kapkoti</t>
        </is>
      </c>
      <c r="C6" s="8" t="inlineStr"/>
      <c r="D6" s="8" t="inlineStr"/>
    </row>
    <row r="7">
      <c r="A7" s="6" t="inlineStr">
        <is>
          <t>Nationality</t>
        </is>
      </c>
      <c r="B7" s="27" t="inlineStr">
        <is>
          <t>Indian</t>
        </is>
      </c>
      <c r="C7" s="8" t="inlineStr"/>
      <c r="D7" s="8" t="inlineStr"/>
    </row>
    <row r="8">
      <c r="A8" s="6" t="inlineStr">
        <is>
          <t>Qualification</t>
        </is>
      </c>
      <c r="B8" s="27" t="inlineStr">
        <is>
          <t>MSc Data Analytics</t>
        </is>
      </c>
      <c r="C8" s="8" t="inlineStr"/>
      <c r="D8" s="8" t="inlineStr">
        <is>
          <t>Aston University, 2:1</t>
        </is>
      </c>
    </row>
    <row r="9">
      <c r="A9" s="6" t="inlineStr">
        <is>
          <t>Graduation date</t>
        </is>
      </c>
      <c r="B9" s="27" t="inlineStr">
        <is>
          <t>March 2024</t>
        </is>
      </c>
      <c r="C9" s="8" t="inlineStr"/>
      <c r="D9" s="8" t="inlineStr"/>
    </row>
    <row r="10">
      <c r="A10" s="6" t="inlineStr">
        <is>
          <t>Visa type</t>
        </is>
      </c>
      <c r="B10" s="27" t="inlineStr">
        <is>
          <t>PSW (Graduate Route)</t>
        </is>
      </c>
      <c r="C10" s="8" t="inlineStr"/>
      <c r="D10" s="8" t="inlineStr">
        <is>
          <t>2 year duration</t>
        </is>
      </c>
    </row>
    <row r="11">
      <c r="A11" s="6" t="inlineStr">
        <is>
          <t>Visa expiry</t>
        </is>
      </c>
      <c r="B11" s="27" t="inlineStr">
        <is>
          <t>May 2026</t>
        </is>
      </c>
      <c r="C11" s="8" t="inlineStr"/>
      <c r="D11" s="8" t="inlineStr"/>
    </row>
    <row r="12">
      <c r="A12" s="6" t="inlineStr">
        <is>
          <t>Days remaining (as of analysis)</t>
        </is>
      </c>
      <c r="B12" s="7" t="n">
        <v>42</v>
      </c>
      <c r="C12" s="8" t="inlineStr">
        <is>
          <t>days</t>
        </is>
      </c>
      <c r="D12" s="8" t="inlineStr">
        <is>
          <t>Auto-update when reviewing</t>
        </is>
      </c>
    </row>
    <row r="13">
      <c r="A13" s="6" t="inlineStr">
        <is>
          <t>Certifications earned in UK</t>
        </is>
      </c>
      <c r="B13" s="27" t="inlineStr">
        <is>
          <t>PL-300, Google Data Analytics</t>
        </is>
      </c>
      <c r="C13" s="8" t="inlineStr"/>
      <c r="D13" s="8" t="inlineStr">
        <is>
          <t>Self-funded, self-studied</t>
        </is>
      </c>
    </row>
    <row r="14">
      <c r="A14" s="6" t="inlineStr">
        <is>
          <t>Portfolio projects built</t>
        </is>
      </c>
      <c r="B14" s="7" t="n">
        <v>10</v>
      </c>
      <c r="C14" s="8" t="inlineStr"/>
      <c r="D14" s="8" t="inlineStr">
        <is>
          <t>All public on GitHub</t>
        </is>
      </c>
    </row>
    <row r="15">
      <c r="A15" s="6" t="inlineStr">
        <is>
          <t>Target role</t>
        </is>
      </c>
      <c r="B15" s="27" t="inlineStr">
        <is>
          <t>Data Analyst / Data Engineer</t>
        </is>
      </c>
      <c r="C15" s="8" t="inlineStr"/>
      <c r="D15" s="8" t="inlineStr">
        <is>
          <t>SOC 3544 / 3133</t>
        </is>
      </c>
    </row>
    <row r="16">
      <c r="A16" s="6" t="inlineStr">
        <is>
          <t>Target salary</t>
        </is>
      </c>
      <c r="B16" s="7" t="n">
        <v>28000</v>
      </c>
      <c r="C16" s="8" t="inlineStr">
        <is>
          <t>GBP/yr</t>
        </is>
      </c>
      <c r="D16" s="8" t="inlineStr">
        <is>
          <t>Entry level data analyst</t>
        </is>
      </c>
    </row>
    <row r="19">
      <c r="A19" s="3" t="inlineStr">
        <is>
          <t>INVESTMENT INTO UK ECONOMY</t>
        </is>
      </c>
      <c r="B19" s="4" t="n"/>
      <c r="C19" s="4" t="n"/>
      <c r="D19" s="4" t="n"/>
    </row>
    <row r="20">
      <c r="A20" s="5" t="inlineStr">
        <is>
          <t>Item</t>
        </is>
      </c>
      <c r="B20" s="5" t="inlineStr">
        <is>
          <t>Amount (GBP)</t>
        </is>
      </c>
      <c r="C20" s="5" t="inlineStr">
        <is>
          <t>Recipient</t>
        </is>
      </c>
      <c r="D20" s="5" t="inlineStr">
        <is>
          <t>Type</t>
        </is>
      </c>
    </row>
    <row r="21">
      <c r="A21" s="6" t="inlineStr">
        <is>
          <t>MSc tuition fee</t>
        </is>
      </c>
      <c r="B21" s="7" t="n">
        <v>15000</v>
      </c>
      <c r="C21" s="8" t="inlineStr">
        <is>
          <t>Aston University</t>
        </is>
      </c>
      <c r="D21" s="8" t="inlineStr">
        <is>
          <t>Education</t>
        </is>
      </c>
    </row>
    <row r="22">
      <c r="A22" s="6" t="inlineStr">
        <is>
          <t>Student visa fee</t>
        </is>
      </c>
      <c r="B22" s="7" t="n">
        <v>490</v>
      </c>
      <c r="C22" s="8" t="inlineStr">
        <is>
          <t>Home Office</t>
        </is>
      </c>
      <c r="D22" s="8" t="inlineStr">
        <is>
          <t>Government fee</t>
        </is>
      </c>
    </row>
    <row r="23">
      <c r="A23" s="6" t="inlineStr">
        <is>
          <t>NHS surcharge (student, 1 year)</t>
        </is>
      </c>
      <c r="B23" s="7" t="n">
        <v>776</v>
      </c>
      <c r="C23" s="8" t="inlineStr">
        <is>
          <t>NHS / Treasury</t>
        </is>
      </c>
      <c r="D23" s="8" t="inlineStr">
        <is>
          <t>Healthcare access</t>
        </is>
      </c>
    </row>
    <row r="24">
      <c r="A24" s="6" t="inlineStr">
        <is>
          <t>PSW visa fee</t>
        </is>
      </c>
      <c r="B24" s="7" t="n">
        <v>822</v>
      </c>
      <c r="C24" s="8" t="inlineStr">
        <is>
          <t>Home Office</t>
        </is>
      </c>
      <c r="D24" s="8" t="inlineStr">
        <is>
          <t>Government fee</t>
        </is>
      </c>
    </row>
    <row r="25">
      <c r="A25" s="6" t="inlineStr">
        <is>
          <t>NHS surcharge (PSW, 2 years)</t>
        </is>
      </c>
      <c r="B25" s="7" t="n">
        <v>2070</v>
      </c>
      <c r="C25" s="8" t="inlineStr">
        <is>
          <t>NHS / Treasury</t>
        </is>
      </c>
      <c r="D25" s="8" t="inlineStr">
        <is>
          <t>Healthcare access</t>
        </is>
      </c>
    </row>
    <row r="26">
      <c r="A26" s="6" t="inlineStr">
        <is>
          <t>Living costs (rent, food, bills - 30 months)</t>
        </is>
      </c>
      <c r="B26" s="7" t="n">
        <v>25000</v>
      </c>
      <c r="C26" s="8" t="inlineStr">
        <is>
          <t>UK landlords, businesses</t>
        </is>
      </c>
      <c r="D26" s="8" t="inlineStr">
        <is>
          <t>Consumer spending</t>
        </is>
      </c>
    </row>
    <row r="27">
      <c r="A27" s="6" t="inlineStr">
        <is>
          <t>PL-300 exam fee</t>
        </is>
      </c>
      <c r="B27" s="7" t="n">
        <v>165</v>
      </c>
      <c r="C27" s="8" t="inlineStr">
        <is>
          <t>Microsoft (UK operation)</t>
        </is>
      </c>
      <c r="D27" s="8" t="inlineStr">
        <is>
          <t>Certification</t>
        </is>
      </c>
    </row>
    <row r="28">
      <c r="A28" s="6" t="inlineStr">
        <is>
          <t>Income tax paid (20 months employment)</t>
        </is>
      </c>
      <c r="B28" s="7" t="n">
        <v>3200</v>
      </c>
      <c r="C28" s="8" t="inlineStr">
        <is>
          <t>HMRC</t>
        </is>
      </c>
      <c r="D28" s="8" t="inlineStr">
        <is>
          <t>Tax revenue</t>
        </is>
      </c>
    </row>
    <row r="29">
      <c r="A29" s="6" t="inlineStr">
        <is>
          <t>National Insurance paid (20 months)</t>
        </is>
      </c>
      <c r="B29" s="7" t="n">
        <v>2400</v>
      </c>
      <c r="C29" s="8" t="inlineStr">
        <is>
          <t>HMRC</t>
        </is>
      </c>
      <c r="D29" s="8" t="inlineStr">
        <is>
          <t>Tax revenue</t>
        </is>
      </c>
    </row>
    <row r="30">
      <c r="A30" s="6" t="inlineStr">
        <is>
          <t>Council tax paid (20 months)</t>
        </is>
      </c>
      <c r="B30" s="7" t="n">
        <v>1600</v>
      </c>
      <c r="C30" s="8" t="inlineStr">
        <is>
          <t>Hull City Council</t>
        </is>
      </c>
      <c r="D30" s="8" t="inlineStr">
        <is>
          <t>Local government</t>
        </is>
      </c>
    </row>
    <row r="31">
      <c r="A31" s="12" t="inlineStr">
        <is>
          <t>TOTAL INVESTED INTO UK</t>
        </is>
      </c>
      <c r="B31" s="28">
        <f>SUM(B21:B30)</f>
        <v/>
      </c>
      <c r="C31" s="8" t="inlineStr"/>
      <c r="D31" s="8" t="inlineStr"/>
    </row>
    <row r="33">
      <c r="A33" s="3" t="inlineStr">
        <is>
          <t>WHAT THE UK GOT BACK</t>
        </is>
      </c>
      <c r="B33" s="4" t="n"/>
      <c r="C33" s="4" t="n"/>
      <c r="D33" s="4" t="n"/>
    </row>
    <row r="34">
      <c r="A34" s="5" t="inlineStr">
        <is>
          <t>Metric</t>
        </is>
      </c>
      <c r="B34" s="5" t="inlineStr">
        <is>
          <t>Value</t>
        </is>
      </c>
      <c r="C34" s="5" t="inlineStr">
        <is>
          <t>Unit</t>
        </is>
      </c>
      <c r="D34" s="5" t="inlineStr">
        <is>
          <t>Source</t>
        </is>
      </c>
    </row>
    <row r="35">
      <c r="A35" s="6" t="inlineStr">
        <is>
          <t>Tax + NI contributed</t>
        </is>
      </c>
      <c r="B35" s="7" t="n">
        <v>5600</v>
      </c>
      <c r="C35" s="8" t="inlineStr">
        <is>
          <t>GBP</t>
        </is>
      </c>
      <c r="D35" s="8" t="inlineStr">
        <is>
          <t>Payslip data</t>
        </is>
      </c>
    </row>
    <row r="36">
      <c r="A36" s="6" t="inlineStr">
        <is>
          <t>Consumer spending in UK economy</t>
        </is>
      </c>
      <c r="B36" s="7" t="n">
        <v>25000</v>
      </c>
      <c r="C36" s="8" t="inlineStr">
        <is>
          <t>GBP</t>
        </is>
      </c>
      <c r="D36" s="8" t="inlineStr">
        <is>
          <t>Rent, food, transport, retail</t>
        </is>
      </c>
    </row>
    <row r="37">
      <c r="A37" s="6" t="inlineStr">
        <is>
          <t>NHS services consumed</t>
        </is>
      </c>
      <c r="B37" s="7" t="n">
        <v>150</v>
      </c>
      <c r="C37" s="8" t="inlineStr">
        <is>
          <t>GBP</t>
        </is>
      </c>
      <c r="D37" s="8" t="inlineStr">
        <is>
          <t>One A&amp;E visit (estimated NHS cost)</t>
        </is>
      </c>
    </row>
    <row r="38">
      <c r="A38" s="6" t="inlineStr">
        <is>
          <t>Prescription cost paid by graduate</t>
        </is>
      </c>
      <c r="B38" s="7" t="n">
        <v>15</v>
      </c>
      <c r="C38" s="8" t="inlineStr">
        <is>
          <t>GBP</t>
        </is>
      </c>
      <c r="D38" s="8" t="inlineStr">
        <is>
          <t>Out of pocket</t>
        </is>
      </c>
    </row>
    <row r="39">
      <c r="A39" s="6" t="inlineStr">
        <is>
          <t>NHS payments made (NI share + IHS)</t>
        </is>
      </c>
      <c r="B39" s="7" t="n">
        <v>4609</v>
      </c>
      <c r="C39" s="8" t="inlineStr">
        <is>
          <t>GBP</t>
        </is>
      </c>
      <c r="D39" s="8" t="inlineStr">
        <is>
          <t>NI allocation + Immigration Health Surcharge</t>
        </is>
      </c>
    </row>
    <row r="40">
      <c r="A40" s="6" t="inlineStr">
        <is>
          <t>NHS payment-to-usage ratio</t>
        </is>
      </c>
      <c r="B40" s="29">
        <f>B39/B37</f>
        <v/>
      </c>
      <c r="C40" s="8" t="inlineStr">
        <is>
          <t>x</t>
        </is>
      </c>
      <c r="D40" s="8" t="inlineStr"/>
    </row>
    <row r="41">
      <c r="A41" s="6" t="inlineStr">
        <is>
          <t>Net NHS surplus from this graduate</t>
        </is>
      </c>
      <c r="B41" s="10">
        <f>B39-B37</f>
        <v/>
      </c>
      <c r="C41" s="8" t="inlineStr">
        <is>
          <t>GBP</t>
        </is>
      </c>
      <c r="D41" s="8" t="inlineStr"/>
    </row>
    <row r="42">
      <c r="A42" s="6" t="inlineStr">
        <is>
          <t>Total tax + fees paid to government</t>
        </is>
      </c>
      <c r="B42" s="10">
        <f>B35+B39+B21+B22+B23+B24</f>
        <v/>
      </c>
      <c r="C42" s="8" t="inlineStr">
        <is>
          <t>GBP</t>
        </is>
      </c>
      <c r="D42" s="8" t="inlineStr"/>
    </row>
    <row r="43">
      <c r="A43" s="6" t="inlineStr">
        <is>
          <t>Tuition paid to university</t>
        </is>
      </c>
      <c r="B43" s="7" t="n">
        <v>15000</v>
      </c>
      <c r="C43" s="8" t="inlineStr">
        <is>
          <t>GBP</t>
        </is>
      </c>
      <c r="D43" s="8" t="inlineStr"/>
    </row>
    <row r="44">
      <c r="A44" s="6" t="inlineStr">
        <is>
          <t>TOTAL UK REVENUE FROM THIS GRADUATE</t>
        </is>
      </c>
      <c r="B44" s="10">
        <f>B42+B43</f>
        <v/>
      </c>
      <c r="C44" s="8" t="inlineStr">
        <is>
          <t>GBP</t>
        </is>
      </c>
      <c r="D44" s="8" t="inlineStr"/>
    </row>
    <row r="46">
      <c r="A46" s="3" t="inlineStr">
        <is>
          <t>EMPLOYABILITY ASSESSMENT</t>
        </is>
      </c>
      <c r="B46" s="4" t="n"/>
      <c r="C46" s="4" t="n"/>
      <c r="D46" s="4" t="n"/>
    </row>
    <row r="47">
      <c r="A47" s="5" t="inlineStr">
        <is>
          <t>Skill / Qualification</t>
        </is>
      </c>
      <c r="B47" s="5" t="inlineStr">
        <is>
          <t>Evidence</t>
        </is>
      </c>
      <c r="C47" s="5" t="inlineStr">
        <is>
          <t>Relevance</t>
        </is>
      </c>
      <c r="D47" s="5" t="inlineStr">
        <is>
          <t>Verified</t>
        </is>
      </c>
    </row>
    <row r="48">
      <c r="A48" s="6" t="inlineStr">
        <is>
          <t>MSc Data Analytics (2:1)</t>
        </is>
      </c>
      <c r="B48" s="8" t="inlineStr">
        <is>
          <t>Aston University transcript</t>
        </is>
      </c>
      <c r="C48" s="8" t="inlineStr">
        <is>
          <t>Core qualification</t>
        </is>
      </c>
      <c r="D48" s="17" t="inlineStr">
        <is>
          <t>Yes</t>
        </is>
      </c>
    </row>
    <row r="49">
      <c r="A49" s="6" t="inlineStr">
        <is>
          <t>Microsoft PL-300 (Power BI)</t>
        </is>
      </c>
      <c r="B49" s="8" t="inlineStr">
        <is>
          <t>Credential ID: C2A34AA4132D8722</t>
        </is>
      </c>
      <c r="C49" s="8" t="inlineStr">
        <is>
          <t>Industry certification</t>
        </is>
      </c>
      <c r="D49" s="17" t="inlineStr">
        <is>
          <t>Online verifiable</t>
        </is>
      </c>
    </row>
    <row r="50">
      <c r="A50" s="6" t="inlineStr">
        <is>
          <t>Google Data Analytics Certificate</t>
        </is>
      </c>
      <c r="B50" s="8" t="inlineStr">
        <is>
          <t>Coursera — 8 courses</t>
        </is>
      </c>
      <c r="C50" s="8" t="inlineStr">
        <is>
          <t>Industry training</t>
        </is>
      </c>
      <c r="D50" s="17" t="inlineStr">
        <is>
          <t>Verifiable</t>
        </is>
      </c>
    </row>
    <row r="51">
      <c r="A51" s="6" t="inlineStr">
        <is>
          <t>Python (pandas, scikit-learn, matplotlib)</t>
        </is>
      </c>
      <c r="B51" s="8" t="inlineStr">
        <is>
          <t>10 GitHub projects with executed notebooks</t>
        </is>
      </c>
      <c r="C51" s="8" t="inlineStr">
        <is>
          <t>Primary language for data roles</t>
        </is>
      </c>
      <c r="D51" s="6" t="inlineStr">
        <is>
          <t>Public repos</t>
        </is>
      </c>
    </row>
    <row r="52">
      <c r="A52" s="6" t="inlineStr">
        <is>
          <t>SQL (window functions, CTEs, aggregations)</t>
        </is>
      </c>
      <c r="B52" s="8" t="inlineStr">
        <is>
          <t>14 analytical queries on GitHub</t>
        </is>
      </c>
      <c r="C52" s="8" t="inlineStr">
        <is>
          <t>Required for all data roles</t>
        </is>
      </c>
      <c r="D52" s="6" t="inlineStr">
        <is>
          <t>Public repo</t>
        </is>
      </c>
    </row>
    <row r="53">
      <c r="A53" s="6" t="inlineStr">
        <is>
          <t>dbt (Core)</t>
        </is>
      </c>
      <c r="B53" s="8" t="inlineStr">
        <is>
          <t>11 models, 94 automated tests across 2 projects</t>
        </is>
      </c>
      <c r="C53" s="8" t="inlineStr">
        <is>
          <t>Growing demand in data engineering</t>
        </is>
      </c>
      <c r="D53" s="6" t="inlineStr">
        <is>
          <t>Public repos</t>
        </is>
      </c>
    </row>
    <row r="54">
      <c r="A54" s="6" t="inlineStr">
        <is>
          <t>Power BI</t>
        </is>
      </c>
      <c r="B54" s="8" t="inlineStr">
        <is>
          <t>PL-300 certified + dashboard in Apex project</t>
        </is>
      </c>
      <c r="C54" s="8" t="inlineStr">
        <is>
          <t>Most requested BI tool in UK</t>
        </is>
      </c>
      <c r="D54" s="17" t="inlineStr">
        <is>
          <t>Verifiable</t>
        </is>
      </c>
    </row>
    <row r="55">
      <c r="A55" s="6" t="inlineStr">
        <is>
          <t>PostgreSQL</t>
        </is>
      </c>
      <c r="B55" s="8" t="inlineStr">
        <is>
          <t>3 projects using PostgreSQL (local + Neon cloud)</t>
        </is>
      </c>
      <c r="C55" s="8" t="inlineStr">
        <is>
          <t>Standard database</t>
        </is>
      </c>
      <c r="D55" s="6" t="inlineStr">
        <is>
          <t>Public repos</t>
        </is>
      </c>
    </row>
    <row r="56">
      <c r="A56" s="6" t="inlineStr">
        <is>
          <t>GitHub Actions CI/CD</t>
        </is>
      </c>
      <c r="B56" s="8" t="inlineStr">
        <is>
          <t>3 workflows: lint, test, scheduled ingest</t>
        </is>
      </c>
      <c r="C56" s="8" t="inlineStr">
        <is>
          <t>DevOps capability</t>
        </is>
      </c>
      <c r="D56" s="6" t="inlineStr">
        <is>
          <t>Public repo</t>
        </is>
      </c>
    </row>
    <row r="57">
      <c r="A57" s="6" t="inlineStr">
        <is>
          <t>Docker</t>
        </is>
      </c>
      <c r="B57" s="8" t="inlineStr">
        <is>
          <t>Dockerfile in Apex project</t>
        </is>
      </c>
      <c r="C57" s="8" t="inlineStr">
        <is>
          <t>Containerisation</t>
        </is>
      </c>
      <c r="D57" s="6" t="inlineStr">
        <is>
          <t>Public repo</t>
        </is>
      </c>
    </row>
    <row r="58">
      <c r="A58" s="6" t="inlineStr">
        <is>
          <t>AWS (S3, Glue, Athena)</t>
        </is>
      </c>
      <c r="B58" s="8" t="inlineStr">
        <is>
          <t>Crime Analysis project on AWS</t>
        </is>
      </c>
      <c r="C58" s="8" t="inlineStr">
        <is>
          <t>Cloud platform</t>
        </is>
      </c>
      <c r="D58" s="6" t="inlineStr">
        <is>
          <t>Public repo</t>
        </is>
      </c>
    </row>
    <row r="59">
      <c r="A59" s="6" t="inlineStr">
        <is>
          <t>Excel (advanced formulas, charts)</t>
        </is>
      </c>
      <c r="B59" s="8" t="inlineStr">
        <is>
          <t>Employment analysis + case study workbook</t>
        </is>
      </c>
      <c r="C59" s="8" t="inlineStr">
        <is>
          <t>Required for analyst roles</t>
        </is>
      </c>
      <c r="D59" s="6" t="inlineStr">
        <is>
          <t>Public repo</t>
        </is>
      </c>
    </row>
    <row r="60">
      <c r="A60" s="6" t="inlineStr">
        <is>
          <t>Streamlit</t>
        </is>
      </c>
      <c r="B60" s="8" t="inlineStr">
        <is>
          <t>Live deployed dashboard</t>
        </is>
      </c>
      <c r="C60" s="8" t="inlineStr">
        <is>
          <t>Data app framework</t>
        </is>
      </c>
      <c r="D60" s="17" t="inlineStr">
        <is>
          <t>Live URL</t>
        </is>
      </c>
    </row>
    <row r="61">
      <c r="A61" s="6" t="inlineStr">
        <is>
          <t>ERP systems (SI Integreater)</t>
        </is>
      </c>
      <c r="B61" s="8" t="inlineStr">
        <is>
          <t>12 months daily operational use</t>
        </is>
      </c>
      <c r="C61" s="8" t="inlineStr">
        <is>
          <t>Production environment experience</t>
        </is>
      </c>
      <c r="D61" s="6" t="inlineStr">
        <is>
          <t>Employer reference</t>
        </is>
      </c>
    </row>
    <row r="62">
      <c r="A62" s="6" t="inlineStr">
        <is>
          <t>Team leadership</t>
        </is>
      </c>
      <c r="B62" s="8" t="inlineStr">
        <is>
          <t>Managing 11+ operatives at Copernus</t>
        </is>
      </c>
      <c r="C62" s="8" t="inlineStr">
        <is>
          <t>Soft skill</t>
        </is>
      </c>
      <c r="D62" s="6" t="inlineStr">
        <is>
          <t>Employer reference</t>
        </is>
      </c>
    </row>
    <row r="64">
      <c r="A64" s="3" t="inlineStr">
        <is>
          <t>PIPELINE OUTCOME</t>
        </is>
      </c>
      <c r="B64" s="4" t="n"/>
      <c r="C64" s="4" t="n"/>
      <c r="D64" s="4" t="n"/>
    </row>
    <row r="65">
      <c r="A65" s="20" t="inlineStr">
        <is>
          <t>Skilled Worker visa salary threshold</t>
        </is>
      </c>
      <c r="B65" s="22">
        <f>'Model Inputs'!B10</f>
        <v/>
      </c>
    </row>
    <row r="66">
      <c r="A66" s="20" t="inlineStr">
        <is>
          <t>Graduate's target salary</t>
        </is>
      </c>
      <c r="B66" s="30" t="n">
        <v>28000</v>
      </c>
    </row>
    <row r="67">
      <c r="A67" s="23" t="inlineStr">
        <is>
          <t>Salary gap</t>
        </is>
      </c>
      <c r="B67" s="31">
        <f>B65-B66</f>
        <v/>
      </c>
    </row>
    <row r="68">
      <c r="A68" s="23" t="inlineStr">
        <is>
          <t>Can this graduate qualify for Skilled Worker visa?</t>
        </is>
      </c>
      <c r="B68" s="32">
        <f>IF(B67&gt;0,"NO - Salary gap of "&amp;TEXT(B67,"#,##0")&amp;" prevents sponsorship","YES")</f>
        <v/>
      </c>
    </row>
    <row r="70">
      <c r="A70" s="33" t="inlineStr">
        <is>
          <t>CONCLUSION</t>
        </is>
      </c>
    </row>
    <row r="71">
      <c r="A71" s="20" t="inlineStr">
        <is>
          <t>This graduate invested 51,523 into the UK economy. They hold a postgraduate degree,</t>
        </is>
      </c>
    </row>
    <row r="72">
      <c r="A72" s="20" t="inlineStr">
        <is>
          <t>an industry certification, 15 verified technical skills, and 10 portfolio projects.</t>
        </is>
      </c>
    </row>
    <row r="73">
      <c r="A73" s="20" t="inlineStr">
        <is>
          <t>The salary threshold prevents them from staying. The pipeline loses this talent.</t>
        </is>
      </c>
    </row>
    <row r="74">
      <c r="A74" s="23" t="inlineStr">
        <is>
          <t>This is one case. Multiply by 100,000 graduates per year.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2026-04-02T11:16:13Z</dcterms:created>
  <dcterms:modified xsi:type="dcterms:W3CDTF">2026-04-02T11:16:13Z</dcterms:modified>
</cp:coreProperties>
</file>