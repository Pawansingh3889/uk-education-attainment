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cation as Business" sheetId="1" state="visible" r:id="rId1"/>
    <sheet name="The Salary Trap" sheetId="2" state="visible" r:id="rId2"/>
    <sheet name="Attainment by Ethnicity" sheetId="3" state="visible" r:id="rId3"/>
    <sheet name="Pawan's Journey" sheetId="4" state="visible" r:id="rId4"/>
    <sheet name="Key 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b val="1"/>
      <color rgb="002F5496"/>
      <sz val="13"/>
    </font>
    <font>
      <name val="Arial"/>
      <sz val="10"/>
    </font>
    <font>
      <name val="Arial"/>
      <b val="1"/>
      <sz val="10"/>
    </font>
    <font>
      <name val="Arial"/>
      <color rgb="00666666"/>
      <sz val="9"/>
    </font>
    <font>
      <name val="Arial"/>
      <b val="1"/>
      <color rgb="00C00000"/>
      <sz val="11"/>
    </font>
    <font>
      <name val="Arial"/>
      <b val="1"/>
      <color rgb="00FFFFFF"/>
      <sz val="11"/>
    </font>
    <font>
      <name val="Arial"/>
      <b val="1"/>
      <color rgb="00548235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3" borderId="0" pivotButton="0" quotePrefix="0" xfId="0"/>
    <xf numFmtId="0" fontId="0" fillId="3" borderId="0" pivotButton="0" quotePrefix="0" xfId="0"/>
    <xf numFmtId="3" fontId="4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5" borderId="0" pivotButton="0" quotePrefix="0" xfId="0"/>
    <xf numFmtId="3" fontId="3" fillId="0" borderId="1" pivotButton="0" quotePrefix="0" xfId="0"/>
    <xf numFmtId="0" fontId="8" fillId="0" borderId="1" pivotButton="0" quotePrefix="0" xfId="0"/>
    <xf numFmtId="3" fontId="8" fillId="0" borderId="1" pivotButton="0" quotePrefix="0" xfId="0"/>
    <xf numFmtId="0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</cols>
  <sheetData>
    <row r="1">
      <c r="A1" s="1" t="inlineStr">
        <is>
          <t>UK Higher Education: The Business Model</t>
        </is>
      </c>
    </row>
    <row r="3">
      <c r="A3" s="2" t="inlineStr">
        <is>
          <t>HOW MUCH INTERNATIONAL STUDENTS PAY</t>
        </is>
      </c>
      <c r="B3" s="3" t="n"/>
      <c r="C3" s="3" t="n"/>
    </row>
    <row r="4">
      <c r="A4" s="4" t="inlineStr">
        <is>
          <t>International fee income per year</t>
        </is>
      </c>
      <c r="B4" s="5" t="inlineStr">
        <is>
          <t>10 billion</t>
        </is>
      </c>
      <c r="C4" s="6" t="inlineStr">
        <is>
          <t>HESA 2023/24</t>
        </is>
      </c>
    </row>
    <row r="5">
      <c r="A5" s="4" t="inlineStr">
        <is>
          <t>Share of total university income</t>
        </is>
      </c>
      <c r="B5" s="5" t="inlineStr">
        <is>
          <t>20%</t>
        </is>
      </c>
      <c r="C5" s="6" t="inlineStr">
        <is>
          <t>1 in 5 pounds</t>
        </is>
      </c>
    </row>
    <row r="6">
      <c r="A6" s="4" t="inlineStr">
        <is>
          <t>Growth since 2016/17</t>
        </is>
      </c>
      <c r="B6" s="5" t="inlineStr">
        <is>
          <t>+113%</t>
        </is>
      </c>
      <c r="C6" s="6" t="inlineStr">
        <is>
          <t>From 4.7B to 10B</t>
        </is>
      </c>
    </row>
    <row r="7">
      <c r="A7" s="4" t="inlineStr">
        <is>
          <t>Domestic fee cap (frozen)</t>
        </is>
      </c>
      <c r="B7" s="5" t="inlineStr">
        <is>
          <t>9,535/year</t>
        </is>
      </c>
      <c r="C7" s="6" t="inlineStr">
        <is>
          <t>Has not changed</t>
        </is>
      </c>
    </row>
    <row r="8">
      <c r="A8" s="4" t="inlineStr">
        <is>
          <t>Average international MSc fee</t>
        </is>
      </c>
      <c r="B8" s="5" t="inlineStr">
        <is>
          <t>15,000 - 25,000</t>
        </is>
      </c>
      <c r="C8" s="6" t="inlineStr">
        <is>
          <t>Per year</t>
        </is>
      </c>
    </row>
    <row r="9">
      <c r="A9" s="4" t="inlineStr">
        <is>
          <t>NHS surcharge (student, per year)</t>
        </is>
      </c>
      <c r="B9" s="5" t="inlineStr">
        <is>
          <t>776</t>
        </is>
      </c>
      <c r="C9" s="6" t="inlineStr">
        <is>
          <t>Paid upfront before arrival</t>
        </is>
      </c>
    </row>
    <row r="10">
      <c r="A10" s="4" t="inlineStr">
        <is>
          <t>NHS surcharge (PSW, per year)</t>
        </is>
      </c>
      <c r="B10" s="5" t="inlineStr">
        <is>
          <t>1,035</t>
        </is>
      </c>
      <c r="C10" s="6" t="inlineStr">
        <is>
          <t>Paid upfront</t>
        </is>
      </c>
    </row>
    <row r="11">
      <c r="A11" s="4" t="inlineStr">
        <is>
          <t>Visa application fee</t>
        </is>
      </c>
      <c r="B11" s="5" t="inlineStr">
        <is>
          <t>490 - 822</t>
        </is>
      </c>
      <c r="C11" s="6" t="inlineStr">
        <is>
          <t>Per application</t>
        </is>
      </c>
    </row>
    <row r="12">
      <c r="A12" s="4" t="inlineStr">
        <is>
          <t>Student visa drop in 2024</t>
        </is>
      </c>
      <c r="B12" s="5" t="inlineStr">
        <is>
          <t>-17%</t>
        </is>
      </c>
      <c r="C12" s="6" t="inlineStr">
        <is>
          <t>Policy uncertainty</t>
        </is>
      </c>
    </row>
    <row r="15">
      <c r="A15" s="7" t="inlineStr">
        <is>
          <t>PAWAN'S ACTUAL COSTS</t>
        </is>
      </c>
      <c r="B15" s="8" t="n"/>
      <c r="C15" s="8" t="n"/>
    </row>
    <row r="16">
      <c r="A16" s="4" t="inlineStr">
        <is>
          <t>MSc tuition (Aston University)</t>
        </is>
      </c>
      <c r="B16" s="9" t="n">
        <v>15000</v>
      </c>
      <c r="C16" s="6" t="inlineStr">
        <is>
          <t>International rate</t>
        </is>
      </c>
    </row>
    <row r="17">
      <c r="A17" s="4" t="inlineStr">
        <is>
          <t>Living costs (12 months, Hull)</t>
        </is>
      </c>
      <c r="B17" s="9" t="n">
        <v>10000</v>
      </c>
      <c r="C17" s="6" t="inlineStr">
        <is>
          <t>Rent + food + bills</t>
        </is>
      </c>
    </row>
    <row r="18">
      <c r="A18" s="4" t="inlineStr">
        <is>
          <t>Student visa fee</t>
        </is>
      </c>
      <c r="B18" s="9" t="n">
        <v>490</v>
      </c>
      <c r="C18" s="6" t="inlineStr"/>
    </row>
    <row r="19">
      <c r="A19" s="4" t="inlineStr">
        <is>
          <t>NHS surcharge (student, 1 year)</t>
        </is>
      </c>
      <c r="B19" s="9" t="n">
        <v>776</v>
      </c>
      <c r="C19" s="6" t="inlineStr">
        <is>
          <t>IHS</t>
        </is>
      </c>
    </row>
    <row r="20">
      <c r="A20" s="4" t="inlineStr">
        <is>
          <t>PSW visa fee</t>
        </is>
      </c>
      <c r="B20" s="9" t="n">
        <v>822</v>
      </c>
      <c r="C20" s="6" t="inlineStr"/>
    </row>
    <row r="21">
      <c r="A21" s="4" t="inlineStr">
        <is>
          <t>NHS surcharge (PSW, 2 years)</t>
        </is>
      </c>
      <c r="B21" s="9" t="n">
        <v>2070</v>
      </c>
      <c r="C21" s="6" t="inlineStr">
        <is>
          <t>IHS</t>
        </is>
      </c>
    </row>
    <row r="22">
      <c r="A22" s="4" t="inlineStr">
        <is>
          <t>PL-300 exam fee</t>
        </is>
      </c>
      <c r="B22" s="9" t="n">
        <v>165</v>
      </c>
      <c r="C22" s="6" t="inlineStr">
        <is>
          <t>Microsoft certification</t>
        </is>
      </c>
    </row>
    <row r="23">
      <c r="A23" s="10" t="inlineStr">
        <is>
          <t>TOTAL INVESTMENT IN UK</t>
        </is>
      </c>
      <c r="B23" s="11">
        <f>SUM(B16:B22)</f>
        <v/>
      </c>
      <c r="C23" s="6" t="inlineStr"/>
    </row>
    <row r="25">
      <c r="A25" s="12" t="inlineStr">
        <is>
          <t>WHAT I GOT BACK</t>
        </is>
      </c>
      <c r="B25" s="13" t="n"/>
      <c r="C25" s="13" t="n"/>
    </row>
    <row r="26">
      <c r="A26" s="4" t="inlineStr">
        <is>
          <t>MSc degree (2:1)</t>
        </is>
      </c>
      <c r="B26" s="5" t="inlineStr">
        <is>
          <t>Yes</t>
        </is>
      </c>
      <c r="C26" s="6" t="inlineStr">
        <is>
          <t>Non-monetary value</t>
        </is>
      </c>
    </row>
    <row r="27">
      <c r="A27" s="4" t="inlineStr">
        <is>
          <t>Microsoft PL-300 certification</t>
        </is>
      </c>
      <c r="B27" s="5" t="inlineStr">
        <is>
          <t>Yes</t>
        </is>
      </c>
      <c r="C27" s="6" t="inlineStr">
        <is>
          <t>Active, verifiable</t>
        </is>
      </c>
    </row>
    <row r="28">
      <c r="A28" s="4" t="inlineStr">
        <is>
          <t>Starting salary after MSc</t>
        </is>
      </c>
      <c r="B28" s="5" t="inlineStr">
        <is>
          <t>12/hr</t>
        </is>
      </c>
      <c r="C28" s="6" t="inlineStr">
        <is>
          <t>Factory work, not data role</t>
        </is>
      </c>
    </row>
    <row r="29">
      <c r="A29" s="4" t="inlineStr">
        <is>
          <t>Data role interviews</t>
        </is>
      </c>
      <c r="B29" s="5" t="inlineStr">
        <is>
          <t>0</t>
        </is>
      </c>
      <c r="C29" s="6" t="inlineStr">
        <is>
          <t>Zero interviews in 2 years</t>
        </is>
      </c>
    </row>
    <row r="30">
      <c r="A30" s="4" t="inlineStr">
        <is>
          <t>Expected ROI timeline</t>
        </is>
      </c>
      <c r="B30" s="5" t="inlineStr">
        <is>
          <t>5+ years</t>
        </is>
      </c>
      <c r="C30" s="6" t="inlineStr">
        <is>
          <t>If I could stay</t>
        </is>
      </c>
    </row>
    <row r="31">
      <c r="A31" s="4" t="inlineStr">
        <is>
          <t>Time remaining on visa</t>
        </is>
      </c>
      <c r="B31" s="5" t="inlineStr">
        <is>
          <t>42 days</t>
        </is>
      </c>
      <c r="C31" s="6" t="inlineStr">
        <is>
          <t>Must leave UK May 2026</t>
        </is>
      </c>
    </row>
    <row r="32">
      <c r="A32" s="4" t="inlineStr">
        <is>
          <t>NHS services used (total)</t>
        </is>
      </c>
      <c r="B32" s="5" t="inlineStr">
        <is>
          <t>15</t>
        </is>
      </c>
      <c r="C32" s="6" t="inlineStr">
        <is>
          <t>One A&amp;E visit + prescription</t>
        </is>
      </c>
    </row>
    <row r="33">
      <c r="A33" s="4" t="inlineStr">
        <is>
          <t>NHS amount paid (NI + IHS)</t>
        </is>
      </c>
      <c r="B33" s="5" t="inlineStr">
        <is>
          <t>4,609</t>
        </is>
      </c>
      <c r="C33" s="6" t="inlineStr">
        <is>
          <t>307x what I used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0" customWidth="1" min="3" max="3"/>
  </cols>
  <sheetData>
    <row r="1">
      <c r="A1" s="1" t="inlineStr">
        <is>
          <t>The Salary Trap: Why Most Graduates Cannot Stay</t>
        </is>
      </c>
    </row>
    <row r="3">
      <c r="A3" s="14" t="inlineStr">
        <is>
          <t>SKILLED WORKER VISA REQUIREMENTS (2025/26)</t>
        </is>
      </c>
    </row>
    <row r="4">
      <c r="A4" s="4" t="inlineStr">
        <is>
          <t>Minimum salary threshold</t>
        </is>
      </c>
      <c r="B4" s="9" t="n">
        <v>41700</v>
      </c>
      <c r="C4" s="6" t="inlineStr">
        <is>
          <t>Increased from 26,200 in 2024</t>
        </is>
      </c>
    </row>
    <row r="5">
      <c r="A5" s="4" t="inlineStr">
        <is>
          <t>Minimum hourly rate</t>
        </is>
      </c>
      <c r="B5" s="9" t="n">
        <v>17.13</v>
      </c>
      <c r="C5" s="6" t="inlineStr">
        <is>
          <t>Based on 48hr week</t>
        </is>
      </c>
    </row>
    <row r="6">
      <c r="A6" s="4" t="inlineStr">
        <is>
          <t>New entrant discount threshold</t>
        </is>
      </c>
      <c r="B6" s="9" t="n">
        <v>33400</v>
      </c>
      <c r="C6" s="6" t="inlineStr">
        <is>
          <t>Only for first 3 years</t>
        </is>
      </c>
    </row>
    <row r="7">
      <c r="A7" s="4" t="inlineStr">
        <is>
          <t>Average entry-level data analyst salary</t>
        </is>
      </c>
      <c r="B7" s="9" t="n">
        <v>28000</v>
      </c>
      <c r="C7" s="6" t="inlineStr">
        <is>
          <t>Glassdoor/Indeed UK</t>
        </is>
      </c>
    </row>
    <row r="8">
      <c r="A8" s="4" t="inlineStr">
        <is>
          <t>Gap: visa threshold vs reality</t>
        </is>
      </c>
      <c r="B8" s="11">
        <f>B4-B7</f>
        <v/>
      </c>
      <c r="C8" s="6" t="inlineStr">
        <is>
          <t>This is why graduates leave</t>
        </is>
      </c>
    </row>
    <row r="9">
      <c r="A9" s="4" t="inlineStr">
        <is>
          <t>% of graduate jobs below threshold</t>
        </is>
      </c>
      <c r="B9" s="5" t="inlineStr">
        <is>
          <t>65%</t>
        </is>
      </c>
      <c r="C9" s="6" t="inlineStr">
        <is>
          <t>Estimated</t>
        </is>
      </c>
    </row>
    <row r="10">
      <c r="A10" s="15" t="inlineStr"/>
      <c r="B10" s="5" t="inlineStr"/>
      <c r="C10" s="6" t="inlineStr"/>
    </row>
    <row r="11">
      <c r="A11" s="4" t="inlineStr">
        <is>
          <t>GRADUATE ROUTE REALITY</t>
        </is>
      </c>
      <c r="B11" s="5" t="inlineStr"/>
      <c r="C11" s="6" t="inlineStr"/>
    </row>
    <row r="12">
      <c r="A12" s="4" t="inlineStr">
        <is>
          <t>Earning within 1 month of PSW start</t>
        </is>
      </c>
      <c r="B12" s="5" t="inlineStr">
        <is>
          <t>62%</t>
        </is>
      </c>
      <c r="C12" s="6" t="inlineStr">
        <is>
          <t>GOV.UK evaluation</t>
        </is>
      </c>
    </row>
    <row r="13">
      <c r="A13" s="4" t="inlineStr">
        <is>
          <t>Earning within 6 months</t>
        </is>
      </c>
      <c r="B13" s="5" t="inlineStr">
        <is>
          <t>90%</t>
        </is>
      </c>
      <c r="C13" s="6" t="inlineStr">
        <is>
          <t>GOV.UK evaluation</t>
        </is>
      </c>
    </row>
    <row r="14">
      <c r="A14" s="4" t="inlineStr">
        <is>
          <t>In skilled (graduate-level) work</t>
        </is>
      </c>
      <c r="B14" s="5" t="inlineStr">
        <is>
          <t>45%</t>
        </is>
      </c>
      <c r="C14" s="6" t="inlineStr">
        <is>
          <t>Less than half</t>
        </is>
      </c>
    </row>
    <row r="15">
      <c r="A15" s="4" t="inlineStr">
        <is>
          <t>In work related to their studies</t>
        </is>
      </c>
      <c r="B15" s="5" t="inlineStr">
        <is>
          <t>65%</t>
        </is>
      </c>
      <c r="C15" s="6" t="inlineStr"/>
    </row>
    <row r="16">
      <c r="A16" s="4" t="inlineStr">
        <is>
          <t>Working hospitality/retail/warehouse</t>
        </is>
      </c>
      <c r="B16" s="5" t="inlineStr">
        <is>
          <t>~35%</t>
        </is>
      </c>
      <c r="C16" s="6" t="inlineStr">
        <is>
          <t>MSc holders in factories</t>
        </is>
      </c>
    </row>
    <row r="17">
      <c r="A17" s="4" t="inlineStr">
        <is>
          <t>Content with current situation</t>
        </is>
      </c>
      <c r="B17" s="5" t="inlineStr">
        <is>
          <t>65%</t>
        </is>
      </c>
      <c r="C17" s="6" t="inlineStr">
        <is>
          <t>Surviving, not thriving</t>
        </is>
      </c>
    </row>
    <row r="20">
      <c r="A20" s="14" t="inlineStr">
        <is>
          <t>TOP BARRIERS FOR GRADUATES (GOV.UK Evaluation)</t>
        </is>
      </c>
    </row>
    <row r="21">
      <c r="A21" s="16" t="inlineStr">
        <is>
          <t>1. Employers unfamiliar with visa system</t>
        </is>
      </c>
      <c r="C21" s="17" t="inlineStr"/>
    </row>
    <row r="22">
      <c r="A22" s="16" t="inlineStr">
        <is>
          <t>2. Employers unwilling to sponsor junior roles</t>
        </is>
      </c>
      <c r="C22" s="17" t="inlineStr">
        <is>
          <t>Most common barrier</t>
        </is>
      </c>
    </row>
    <row r="23">
      <c r="A23" s="16" t="inlineStr">
        <is>
          <t>3. Strong job market competition</t>
        </is>
      </c>
      <c r="C23" s="17" t="inlineStr"/>
    </row>
    <row r="24">
      <c r="A24" s="16" t="inlineStr">
        <is>
          <t>4. Limited visa duration (2 years only)</t>
        </is>
      </c>
      <c r="C24" s="17" t="inlineStr"/>
    </row>
    <row r="25">
      <c r="A25" s="16" t="inlineStr">
        <is>
          <t>5. Salary threshold too high for entry-level</t>
        </is>
      </c>
      <c r="C25" s="17" t="inlineStr">
        <is>
          <t>The core problem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A-Level Attainment by Ethnicity (2024/25)</t>
        </is>
      </c>
    </row>
    <row r="3">
      <c r="A3" s="18" t="inlineStr">
        <is>
          <t>Ethnic Group</t>
        </is>
      </c>
      <c r="B3" s="18" t="inlineStr">
        <is>
          <t>Total Students</t>
        </is>
      </c>
      <c r="C3" s="18" t="inlineStr">
        <is>
          <t>Achieved Level 3</t>
        </is>
      </c>
      <c r="D3" s="18" t="inlineStr">
        <is>
          <t>Attainment Rate %</t>
        </is>
      </c>
      <c r="E3" s="18" t="inlineStr">
        <is>
          <t>Gap from Best</t>
        </is>
      </c>
    </row>
    <row r="4">
      <c r="A4" s="4" t="inlineStr">
        <is>
          <t>Any other ethnic group</t>
        </is>
      </c>
      <c r="B4" s="19" t="n">
        <v>11680</v>
      </c>
      <c r="C4" s="19" t="n">
        <v>8245</v>
      </c>
      <c r="D4" s="5" t="n">
        <v>70.59999999999999</v>
      </c>
      <c r="E4" s="10" t="n">
        <v>-7.9</v>
      </c>
    </row>
    <row r="5">
      <c r="A5" s="4" t="inlineStr">
        <is>
          <t>Asian or Asian British</t>
        </is>
      </c>
      <c r="B5" s="19" t="n">
        <v>69063</v>
      </c>
      <c r="C5" s="19" t="n">
        <v>54214</v>
      </c>
      <c r="D5" s="5" t="n">
        <v>78.5</v>
      </c>
      <c r="E5" s="20" t="n">
        <v>0</v>
      </c>
    </row>
    <row r="6">
      <c r="A6" s="4" t="inlineStr">
        <is>
          <t>Black or Black British</t>
        </is>
      </c>
      <c r="B6" s="19" t="n">
        <v>35544</v>
      </c>
      <c r="C6" s="19" t="n">
        <v>25099</v>
      </c>
      <c r="D6" s="5" t="n">
        <v>70.59999999999999</v>
      </c>
      <c r="E6" s="10" t="n">
        <v>-7.9</v>
      </c>
    </row>
    <row r="7">
      <c r="A7" s="4" t="inlineStr">
        <is>
          <t>Mixed Dual background</t>
        </is>
      </c>
      <c r="B7" s="19" t="n">
        <v>32388</v>
      </c>
      <c r="C7" s="19" t="n">
        <v>20430</v>
      </c>
      <c r="D7" s="5" t="n">
        <v>63.1</v>
      </c>
      <c r="E7" s="10" t="n">
        <v>-15.4</v>
      </c>
    </row>
    <row r="8">
      <c r="A8" s="4" t="inlineStr">
        <is>
          <t>White</t>
        </is>
      </c>
      <c r="B8" s="19" t="n">
        <v>381396</v>
      </c>
      <c r="C8" s="19" t="n">
        <v>212822</v>
      </c>
      <c r="D8" s="5" t="n">
        <v>55.8</v>
      </c>
      <c r="E8" s="10" t="n">
        <v>-22.7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</cols>
  <sheetData>
    <row r="1">
      <c r="A1" s="1" t="inlineStr">
        <is>
          <t>My UK Journey: What I Put In vs What I Got Back</t>
        </is>
      </c>
    </row>
    <row r="3">
      <c r="A3" s="18" t="inlineStr">
        <is>
          <t>Date</t>
        </is>
      </c>
      <c r="B3" s="18" t="inlineStr">
        <is>
          <t>Event</t>
        </is>
      </c>
      <c r="C3" s="18" t="inlineStr">
        <is>
          <t>Cost/Earned</t>
        </is>
      </c>
      <c r="D3" s="18" t="inlineStr">
        <is>
          <t>Running Total</t>
        </is>
      </c>
    </row>
    <row r="4">
      <c r="A4" s="4" t="inlineStr">
        <is>
          <t>Sep 2023</t>
        </is>
      </c>
      <c r="B4" s="4" t="inlineStr">
        <is>
          <t>Arrived UK for MSc at Aston University</t>
        </is>
      </c>
      <c r="C4" s="11" t="n">
        <v>-15000</v>
      </c>
      <c r="D4" s="9" t="n">
        <v>-15000</v>
      </c>
    </row>
    <row r="5">
      <c r="A5" s="4" t="inlineStr">
        <is>
          <t>Sep 2023</t>
        </is>
      </c>
      <c r="B5" s="4" t="inlineStr">
        <is>
          <t>Visa fee + NHS surcharge (student)</t>
        </is>
      </c>
      <c r="C5" s="11" t="n">
        <v>-1266</v>
      </c>
      <c r="D5" s="9" t="n">
        <v>-16266</v>
      </c>
    </row>
    <row r="6">
      <c r="A6" s="4" t="inlineStr">
        <is>
          <t>Sep 2023-Jun 2024</t>
        </is>
      </c>
      <c r="B6" s="4" t="inlineStr">
        <is>
          <t>Living costs (9 months)</t>
        </is>
      </c>
      <c r="C6" s="11" t="n">
        <v>-9000</v>
      </c>
      <c r="D6" s="9" t="n">
        <v>-25266</v>
      </c>
    </row>
    <row r="7">
      <c r="A7" s="4" t="inlineStr">
        <is>
          <t>Mar 2024</t>
        </is>
      </c>
      <c r="B7" s="4" t="inlineStr">
        <is>
          <t>Graduated MSc Data Analytics (2:1)</t>
        </is>
      </c>
      <c r="C7" s="19" t="n">
        <v>0</v>
      </c>
      <c r="D7" s="9" t="n">
        <v>-25266</v>
      </c>
    </row>
    <row r="8">
      <c r="A8" s="4" t="inlineStr">
        <is>
          <t>Mar-Jul 2024</t>
        </is>
      </c>
      <c r="B8" s="4" t="inlineStr">
        <is>
          <t>Stadium cashier + hospitality (self-studied AWS)</t>
        </is>
      </c>
      <c r="C8" s="21" t="n">
        <v>3500</v>
      </c>
      <c r="D8" s="9" t="n">
        <v>-21766</v>
      </c>
    </row>
    <row r="9">
      <c r="A9" s="4" t="inlineStr">
        <is>
          <t>May 2024</t>
        </is>
      </c>
      <c r="B9" s="4" t="inlineStr">
        <is>
          <t>PSW visa fee + NHS surcharge</t>
        </is>
      </c>
      <c r="C9" s="11" t="n">
        <v>-2892</v>
      </c>
      <c r="D9" s="9" t="n">
        <v>-24658</v>
      </c>
    </row>
    <row r="10">
      <c r="A10" s="4" t="inlineStr">
        <is>
          <t>Jun 2024</t>
        </is>
      </c>
      <c r="B10" s="4" t="inlineStr">
        <is>
          <t>Relocated Birmingham to Hull (cheaper living)</t>
        </is>
      </c>
      <c r="C10" s="11" t="n">
        <v>-200</v>
      </c>
      <c r="D10" s="9" t="n">
        <v>-24858</v>
      </c>
    </row>
    <row r="11">
      <c r="A11" s="4" t="inlineStr">
        <is>
          <t>Jul 2024</t>
        </is>
      </c>
      <c r="B11" s="4" t="inlineStr">
        <is>
          <t>Started Cranswick (food operative, 12/hr)</t>
        </is>
      </c>
      <c r="C11" s="19" t="n">
        <v>0</v>
      </c>
      <c r="D11" s="9" t="n">
        <v>-24858</v>
      </c>
    </row>
    <row r="12">
      <c r="A12" s="4" t="inlineStr">
        <is>
          <t>Oct 2024</t>
        </is>
      </c>
      <c r="B12" s="4" t="inlineStr">
        <is>
          <t>Promoted to Cover Team Lead</t>
        </is>
      </c>
      <c r="C12" s="19" t="n">
        <v>0</v>
      </c>
      <c r="D12" s="9" t="n">
        <v>-24858</v>
      </c>
    </row>
    <row r="13">
      <c r="A13" s="4" t="inlineStr">
        <is>
          <t>Apr 2025</t>
        </is>
      </c>
      <c r="B13" s="4" t="inlineStr">
        <is>
          <t>Moved to Copernus (Team Leader, ERP systems)</t>
        </is>
      </c>
      <c r="C13" s="19" t="n">
        <v>0</v>
      </c>
      <c r="D13" s="9" t="n">
        <v>-24858</v>
      </c>
    </row>
    <row r="14">
      <c r="A14" s="4" t="inlineStr">
        <is>
          <t>Jul 2024-Mar 2026</t>
        </is>
      </c>
      <c r="B14" s="4" t="inlineStr">
        <is>
          <t>Total earnings from employment (estimated)</t>
        </is>
      </c>
      <c r="C14" s="21" t="n">
        <v>22000</v>
      </c>
      <c r="D14" s="9" t="n">
        <v>-2858</v>
      </c>
    </row>
    <row r="15">
      <c r="A15" s="4" t="inlineStr">
        <is>
          <t>Mar 2026</t>
        </is>
      </c>
      <c r="B15" s="4" t="inlineStr">
        <is>
          <t>Passed Microsoft PL-300 certification</t>
        </is>
      </c>
      <c r="C15" s="11" t="n">
        <v>-165</v>
      </c>
      <c r="D15" s="9" t="n">
        <v>-3023</v>
      </c>
    </row>
    <row r="16">
      <c r="A16" s="4" t="inlineStr">
        <is>
          <t>Mar 2026</t>
        </is>
      </c>
      <c r="B16" s="4" t="inlineStr">
        <is>
          <t>Built 10 portfolio projects on GitHub</t>
        </is>
      </c>
      <c r="C16" s="19" t="n">
        <v>0</v>
      </c>
      <c r="D16" s="9" t="n">
        <v>-3023</v>
      </c>
    </row>
    <row r="17">
      <c r="A17" s="4" t="inlineStr">
        <is>
          <t>May 2026</t>
        </is>
      </c>
      <c r="B17" s="4" t="inlineStr">
        <is>
          <t>PSW visa expires - must leave UK</t>
        </is>
      </c>
      <c r="C17" s="19" t="n">
        <v>0</v>
      </c>
      <c r="D17" s="9" t="n">
        <v>-3023</v>
      </c>
    </row>
    <row r="18">
      <c r="A18" s="22" t="inlineStr">
        <is>
          <t>NET POSITION</t>
        </is>
      </c>
      <c r="B18" s="22" t="inlineStr">
        <is>
          <t>Total cost to me after earnings</t>
        </is>
      </c>
      <c r="C18" s="23">
        <f>SUM(C4:C17)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Key Findings: Education, Immigration, and Policy</t>
        </is>
      </c>
    </row>
    <row r="3">
      <c r="A3" s="14" t="inlineStr">
        <is>
          <t>FINDING 1: UK universities depend on international students for survival</t>
        </is>
      </c>
    </row>
    <row r="4">
      <c r="A4" s="16" t="inlineStr">
        <is>
          <t>International student fees = 10B/year. Without us, 20% of university income disappears.</t>
        </is>
      </c>
    </row>
    <row r="5">
      <c r="A5" s="16" t="inlineStr">
        <is>
          <t>This is not education policy. This is revenue extraction.</t>
        </is>
      </c>
    </row>
    <row r="7">
      <c r="A7" s="14" t="inlineStr">
        <is>
          <t>FINDING 2: The visa system is designed to extract money, not retain talent</t>
        </is>
      </c>
    </row>
    <row r="8">
      <c r="A8" s="16" t="inlineStr">
        <is>
          <t>I paid ~29,000. Skilled Worker visa requires 41,700/year. Entry data analyst pays 28,000.</t>
        </is>
      </c>
    </row>
    <row r="9">
      <c r="A9" s="16" t="inlineStr">
        <is>
          <t>The gap is 13,700/year. There is no legitimate pathway for most graduates.</t>
        </is>
      </c>
    </row>
    <row r="11">
      <c r="A11" s="14" t="inlineStr">
        <is>
          <t>FINDING 3: Immigrant-background students outperform in education</t>
        </is>
      </c>
    </row>
    <row r="12">
      <c r="A12" s="16" t="inlineStr">
        <is>
          <t>Chinese and Indian students achieve highest A-Level attainment. Black African students outperform</t>
        </is>
      </c>
    </row>
    <row r="13">
      <c r="A13" s="16" t="inlineStr">
        <is>
          <t>White British in many metrics. The UK benefits from immigrant talent — then discards it.</t>
        </is>
      </c>
    </row>
    <row r="15">
      <c r="A15" s="14" t="inlineStr">
        <is>
          <t>FINDING 4: Deprivation is the real predictor, not ethnicity</t>
        </is>
      </c>
    </row>
    <row r="16">
      <c r="A16" s="16" t="inlineStr">
        <is>
          <t>A disadvantaged White student has worse outcomes than a non-disadvantaged Black student.</t>
        </is>
      </c>
    </row>
    <row r="17">
      <c r="A17" s="16" t="inlineStr">
        <is>
          <t>Class, not race, drives the attainment gap. Policy addresses neither effectively.</t>
        </is>
      </c>
    </row>
    <row r="19">
      <c r="A19" s="14" t="inlineStr">
        <is>
          <t>FINDING 5: 10 years of policy, minimal change</t>
        </is>
      </c>
    </row>
    <row r="20">
      <c r="A20" s="16" t="inlineStr">
        <is>
          <t>Widening participation schemes cost billions. The attainment gap barely moved.</t>
        </is>
      </c>
    </row>
    <row r="21">
      <c r="A21" s="16" t="inlineStr">
        <is>
          <t>The system produces reports about the gap. It does not close the gap.</t>
        </is>
      </c>
    </row>
    <row r="23">
      <c r="A23" s="14" t="inlineStr">
        <is>
          <t>FINDING 6: The cycle is the product</t>
        </is>
      </c>
    </row>
    <row r="24">
      <c r="A24" s="16" t="inlineStr">
        <is>
          <t>Step 1: Recruit international students at 2-3x domestic fees.</t>
        </is>
      </c>
    </row>
    <row r="25">
      <c r="A25" s="16" t="inlineStr">
        <is>
          <t>Step 2: Collect visa fees and NHS surcharges upfront.</t>
        </is>
      </c>
    </row>
    <row r="26">
      <c r="A26" s="16" t="inlineStr">
        <is>
          <t>Step 3: Graduate them into a job market that will not sponsor them.</t>
        </is>
      </c>
    </row>
    <row r="27">
      <c r="A27" s="16" t="inlineStr">
        <is>
          <t>Step 4: They leave. The next cohort arrives. Repeat.</t>
        </is>
      </c>
    </row>
    <row r="28">
      <c r="A28" s="16" t="inlineStr">
        <is>
          <t>This is not a bug. This is the business model.</t>
        </is>
      </c>
    </row>
    <row r="30">
      <c r="A30" s="14" t="inlineStr">
        <is>
          <t>MY CONCLUSION</t>
        </is>
      </c>
    </row>
    <row r="31">
      <c r="A31" s="16" t="inlineStr">
        <is>
          <t>I invested 29,000 and 3 years in the UK. I earned an MSc, passed certifications,</t>
        </is>
      </c>
    </row>
    <row r="32">
      <c r="A32" s="16" t="inlineStr">
        <is>
          <t>built 10 data projects, paid taxes, and used 15 of NHS services.</t>
        </is>
      </c>
    </row>
    <row r="33">
      <c r="A33" s="16" t="inlineStr">
        <is>
          <t>The system took my money and my time. In 42 days it will ask me to leave.</t>
        </is>
      </c>
    </row>
    <row r="34">
      <c r="A34" s="16" t="inlineStr">
        <is>
          <t>The data does not lie. The policy does.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2026-03-19T13:23:05Z</dcterms:created>
  <dcterms:modified xsi:type="dcterms:W3CDTF">2026-03-19T13:23:05Z</dcterms:modified>
</cp:coreProperties>
</file>